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ED1983D0-E35D-4CB8-8E62-A2732D7FFFD9}" xr6:coauthVersionLast="47" xr6:coauthVersionMax="47" xr10:uidLastSave="{00000000-0000-0000-0000-000000000000}"/>
  <bookViews>
    <workbookView xWindow="-108" yWindow="-108" windowWidth="23256" windowHeight="12456" xr2:uid="{3F261452-CCB9-4CED-9043-08A1324F307F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33" l="1"/>
  <c r="E16" i="33"/>
  <c r="H23" i="33" s="1"/>
  <c r="E29" i="33" s="1"/>
  <c r="H15" i="33"/>
  <c r="E23" i="33" s="1"/>
  <c r="E30" i="33" s="1"/>
  <c r="O8" i="33"/>
  <c r="A8" i="33"/>
  <c r="H42" i="32"/>
  <c r="E42" i="32"/>
  <c r="H18" i="33" s="1"/>
  <c r="H24" i="33" s="1"/>
  <c r="H29" i="33" s="1"/>
  <c r="H41" i="32"/>
  <c r="E18" i="33" s="1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15" i="33" s="1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S48" i="30" s="1"/>
  <c r="E48" i="30"/>
  <c r="O48" i="30" s="1" a="1"/>
  <c r="O48" i="30" s="1"/>
  <c r="X48" i="30" s="1"/>
  <c r="A48" i="30"/>
  <c r="W47" i="30"/>
  <c r="V47" i="30"/>
  <c r="U47" i="30"/>
  <c r="N47" i="30"/>
  <c r="M47" i="30"/>
  <c r="K47" i="30"/>
  <c r="I47" i="30"/>
  <c r="S47" i="30" s="1"/>
  <c r="H47" i="30"/>
  <c r="F47" i="30"/>
  <c r="E47" i="30"/>
  <c r="A47" i="30"/>
  <c r="W46" i="30"/>
  <c r="V46" i="30"/>
  <c r="U46" i="30"/>
  <c r="N46" i="30"/>
  <c r="M46" i="30"/>
  <c r="K46" i="30"/>
  <c r="I46" i="30"/>
  <c r="H46" i="30"/>
  <c r="F46" i="30"/>
  <c r="E46" i="30"/>
  <c r="A46" i="30"/>
  <c r="E36" i="30" s="1"/>
  <c r="W45" i="30"/>
  <c r="V45" i="30"/>
  <c r="U45" i="30"/>
  <c r="N45" i="30"/>
  <c r="M45" i="30"/>
  <c r="K45" i="30"/>
  <c r="I45" i="30"/>
  <c r="H45" i="30"/>
  <c r="O45" i="30" s="1" a="1"/>
  <c r="O45" i="30" s="1"/>
  <c r="F45" i="30"/>
  <c r="E45" i="30"/>
  <c r="A45" i="30"/>
  <c r="H20" i="30" s="1"/>
  <c r="W44" i="30"/>
  <c r="V44" i="30"/>
  <c r="U44" i="30"/>
  <c r="N44" i="30"/>
  <c r="M44" i="30"/>
  <c r="K44" i="30"/>
  <c r="I44" i="30"/>
  <c r="H44" i="30"/>
  <c r="F44" i="30"/>
  <c r="E44" i="30"/>
  <c r="A44" i="30"/>
  <c r="E16" i="30" s="1"/>
  <c r="W43" i="30"/>
  <c r="V43" i="30"/>
  <c r="U43" i="30"/>
  <c r="N43" i="30"/>
  <c r="M43" i="30"/>
  <c r="K43" i="30"/>
  <c r="I43" i="30"/>
  <c r="H43" i="30"/>
  <c r="F43" i="30"/>
  <c r="E43" i="30"/>
  <c r="R43" i="30" s="1"/>
  <c r="A43" i="30"/>
  <c r="W42" i="30"/>
  <c r="V42" i="30"/>
  <c r="U42" i="30"/>
  <c r="N42" i="30"/>
  <c r="M42" i="30"/>
  <c r="K42" i="30"/>
  <c r="I42" i="30"/>
  <c r="S42" i="30" s="1"/>
  <c r="H42" i="30"/>
  <c r="F42" i="30"/>
  <c r="E42" i="30"/>
  <c r="A42" i="30"/>
  <c r="H19" i="30" s="1"/>
  <c r="W41" i="30"/>
  <c r="V41" i="30"/>
  <c r="U41" i="30"/>
  <c r="O41" i="30" a="1"/>
  <c r="O41" i="30" s="1"/>
  <c r="N41" i="30"/>
  <c r="M41" i="30"/>
  <c r="K41" i="30"/>
  <c r="I41" i="30"/>
  <c r="H41" i="30"/>
  <c r="F41" i="30"/>
  <c r="E41" i="30"/>
  <c r="A41" i="30"/>
  <c r="E34" i="30" s="1"/>
  <c r="M38" i="30"/>
  <c r="H38" i="30"/>
  <c r="E38" i="30"/>
  <c r="M37" i="30"/>
  <c r="M36" i="30"/>
  <c r="M34" i="30"/>
  <c r="M33" i="30"/>
  <c r="H33" i="30"/>
  <c r="M32" i="30"/>
  <c r="H32" i="30"/>
  <c r="E32" i="30"/>
  <c r="M30" i="30"/>
  <c r="E30" i="30"/>
  <c r="M29" i="30"/>
  <c r="E29" i="30"/>
  <c r="M27" i="30"/>
  <c r="E27" i="30"/>
  <c r="M25" i="30"/>
  <c r="H25" i="30"/>
  <c r="E25" i="30"/>
  <c r="M24" i="30"/>
  <c r="H24" i="30"/>
  <c r="M23" i="30"/>
  <c r="H23" i="30"/>
  <c r="M21" i="30"/>
  <c r="H21" i="30"/>
  <c r="M20" i="30"/>
  <c r="E20" i="30"/>
  <c r="M19" i="30"/>
  <c r="M17" i="30"/>
  <c r="H17" i="30"/>
  <c r="E17" i="30"/>
  <c r="M16" i="30"/>
  <c r="M15" i="30"/>
  <c r="H15" i="30"/>
  <c r="E15" i="30"/>
  <c r="M13" i="30"/>
  <c r="H13" i="30"/>
  <c r="M12" i="30"/>
  <c r="E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A48" i="29"/>
  <c r="W47" i="29"/>
  <c r="V47" i="29"/>
  <c r="U47" i="29"/>
  <c r="N47" i="29"/>
  <c r="M47" i="29"/>
  <c r="K47" i="29"/>
  <c r="I47" i="29"/>
  <c r="H47" i="29"/>
  <c r="F47" i="29"/>
  <c r="E47" i="29"/>
  <c r="A47" i="29"/>
  <c r="W46" i="29"/>
  <c r="V46" i="29"/>
  <c r="U46" i="29"/>
  <c r="N46" i="29"/>
  <c r="M46" i="29"/>
  <c r="K46" i="29"/>
  <c r="I46" i="29"/>
  <c r="H46" i="29"/>
  <c r="F46" i="29"/>
  <c r="E46" i="29"/>
  <c r="O46" i="29" s="1" a="1"/>
  <c r="O46" i="29" s="1"/>
  <c r="A46" i="29"/>
  <c r="E36" i="29" s="1"/>
  <c r="W45" i="29"/>
  <c r="V45" i="29"/>
  <c r="U45" i="29"/>
  <c r="N45" i="29"/>
  <c r="M45" i="29"/>
  <c r="K45" i="29"/>
  <c r="I45" i="29"/>
  <c r="H45" i="29"/>
  <c r="F45" i="29"/>
  <c r="E45" i="29"/>
  <c r="A45" i="29"/>
  <c r="H20" i="29" s="1"/>
  <c r="W44" i="29"/>
  <c r="V44" i="29"/>
  <c r="U44" i="29"/>
  <c r="N44" i="29"/>
  <c r="M44" i="29"/>
  <c r="K44" i="29"/>
  <c r="I44" i="29"/>
  <c r="H44" i="29"/>
  <c r="F44" i="29"/>
  <c r="E44" i="29"/>
  <c r="R44" i="29" s="1"/>
  <c r="A44" i="29"/>
  <c r="E16" i="29" s="1"/>
  <c r="W43" i="29"/>
  <c r="V43" i="29"/>
  <c r="U43" i="29"/>
  <c r="N43" i="29"/>
  <c r="M43" i="29"/>
  <c r="K43" i="29"/>
  <c r="I43" i="29"/>
  <c r="H43" i="29"/>
  <c r="F43" i="29"/>
  <c r="E43" i="29"/>
  <c r="A43" i="29"/>
  <c r="E27" i="29" s="1"/>
  <c r="W42" i="29"/>
  <c r="V42" i="29"/>
  <c r="U42" i="29"/>
  <c r="N42" i="29"/>
  <c r="O42" i="29" s="1" a="1"/>
  <c r="O42" i="29" s="1"/>
  <c r="M42" i="29"/>
  <c r="K42" i="29"/>
  <c r="I42" i="29"/>
  <c r="H42" i="29"/>
  <c r="F42" i="29"/>
  <c r="E42" i="29"/>
  <c r="A42" i="29"/>
  <c r="H19" i="29" s="1"/>
  <c r="W41" i="29"/>
  <c r="V41" i="29"/>
  <c r="U41" i="29"/>
  <c r="N41" i="29"/>
  <c r="M41" i="29"/>
  <c r="K41" i="29"/>
  <c r="I41" i="29"/>
  <c r="H41" i="29"/>
  <c r="F41" i="29"/>
  <c r="S41" i="29" s="1"/>
  <c r="E41" i="29"/>
  <c r="A41" i="29"/>
  <c r="E34" i="29" s="1"/>
  <c r="M38" i="29"/>
  <c r="E38" i="29"/>
  <c r="M37" i="29"/>
  <c r="E37" i="29"/>
  <c r="M36" i="29"/>
  <c r="H36" i="29"/>
  <c r="M34" i="29"/>
  <c r="M33" i="29"/>
  <c r="H33" i="29"/>
  <c r="M32" i="29"/>
  <c r="H32" i="29"/>
  <c r="E32" i="29"/>
  <c r="M30" i="29"/>
  <c r="E30" i="29"/>
  <c r="M29" i="29"/>
  <c r="M27" i="29"/>
  <c r="M25" i="29"/>
  <c r="H25" i="29"/>
  <c r="M24" i="29"/>
  <c r="M23" i="29"/>
  <c r="M21" i="29"/>
  <c r="H21" i="29"/>
  <c r="M20" i="29"/>
  <c r="E20" i="29"/>
  <c r="M19" i="29"/>
  <c r="M17" i="29"/>
  <c r="H17" i="29"/>
  <c r="M16" i="29"/>
  <c r="H16" i="29"/>
  <c r="M15" i="29"/>
  <c r="H15" i="29"/>
  <c r="E15" i="29"/>
  <c r="M13" i="29"/>
  <c r="M12" i="29"/>
  <c r="E12" i="29"/>
  <c r="M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T48" i="28" s="1"/>
  <c r="A48" i="28"/>
  <c r="W47" i="28"/>
  <c r="V47" i="28"/>
  <c r="U47" i="28"/>
  <c r="N47" i="28"/>
  <c r="M47" i="28"/>
  <c r="K47" i="28"/>
  <c r="I47" i="28"/>
  <c r="H47" i="28"/>
  <c r="F47" i="28"/>
  <c r="E47" i="28"/>
  <c r="S47" i="28" s="1"/>
  <c r="A47" i="28"/>
  <c r="E38" i="28" s="1"/>
  <c r="W46" i="28"/>
  <c r="V46" i="28"/>
  <c r="U46" i="28"/>
  <c r="N46" i="28"/>
  <c r="M46" i="28"/>
  <c r="K46" i="28"/>
  <c r="I46" i="28"/>
  <c r="H46" i="28"/>
  <c r="F46" i="28"/>
  <c r="E46" i="28"/>
  <c r="R46" i="28" s="1"/>
  <c r="A46" i="28"/>
  <c r="H33" i="28" s="1"/>
  <c r="W45" i="28"/>
  <c r="V45" i="28"/>
  <c r="U45" i="28"/>
  <c r="N45" i="28"/>
  <c r="M45" i="28"/>
  <c r="K45" i="28"/>
  <c r="I45" i="28"/>
  <c r="O45" i="28" s="1" a="1"/>
  <c r="O45" i="28" s="1"/>
  <c r="H45" i="28"/>
  <c r="F45" i="28"/>
  <c r="E45" i="28"/>
  <c r="A45" i="28"/>
  <c r="H20" i="28" s="1"/>
  <c r="W44" i="28"/>
  <c r="V44" i="28"/>
  <c r="U44" i="28"/>
  <c r="N44" i="28"/>
  <c r="M44" i="28"/>
  <c r="K44" i="28"/>
  <c r="I44" i="28"/>
  <c r="H44" i="28"/>
  <c r="F44" i="28"/>
  <c r="E44" i="28"/>
  <c r="A44" i="28"/>
  <c r="E16" i="28" s="1"/>
  <c r="W43" i="28"/>
  <c r="V43" i="28"/>
  <c r="U43" i="28"/>
  <c r="N43" i="28"/>
  <c r="M43" i="28"/>
  <c r="K43" i="28"/>
  <c r="I43" i="28"/>
  <c r="H43" i="28"/>
  <c r="F43" i="28"/>
  <c r="R43" i="28" s="1"/>
  <c r="E43" i="28"/>
  <c r="A43" i="28"/>
  <c r="E27" i="28" s="1"/>
  <c r="W42" i="28"/>
  <c r="V42" i="28"/>
  <c r="U42" i="28"/>
  <c r="N42" i="28"/>
  <c r="M42" i="28"/>
  <c r="K42" i="28"/>
  <c r="I42" i="28"/>
  <c r="H42" i="28"/>
  <c r="F42" i="28"/>
  <c r="E42" i="28"/>
  <c r="A42" i="28"/>
  <c r="H19" i="28" s="1"/>
  <c r="W41" i="28"/>
  <c r="V41" i="28"/>
  <c r="U41" i="28"/>
  <c r="N41" i="28"/>
  <c r="M41" i="28"/>
  <c r="K41" i="28"/>
  <c r="I41" i="28"/>
  <c r="H41" i="28"/>
  <c r="F41" i="28"/>
  <c r="E41" i="28"/>
  <c r="T41" i="28" s="1"/>
  <c r="A41" i="28"/>
  <c r="E23" i="28" s="1"/>
  <c r="M38" i="28"/>
  <c r="M37" i="28"/>
  <c r="M36" i="28"/>
  <c r="E36" i="28"/>
  <c r="M34" i="28"/>
  <c r="M33" i="28"/>
  <c r="E33" i="28"/>
  <c r="M32" i="28"/>
  <c r="H32" i="28"/>
  <c r="E32" i="28"/>
  <c r="M30" i="28"/>
  <c r="E30" i="28"/>
  <c r="M29" i="28"/>
  <c r="M27" i="28"/>
  <c r="H27" i="28"/>
  <c r="M25" i="28"/>
  <c r="H25" i="28"/>
  <c r="E25" i="28"/>
  <c r="M24" i="28"/>
  <c r="H24" i="28"/>
  <c r="M23" i="28"/>
  <c r="M21" i="28"/>
  <c r="H21" i="28"/>
  <c r="M20" i="28"/>
  <c r="E20" i="28"/>
  <c r="M19" i="28"/>
  <c r="M17" i="28"/>
  <c r="H17" i="28"/>
  <c r="M16" i="28"/>
  <c r="H16" i="28"/>
  <c r="M15" i="28"/>
  <c r="H15" i="28"/>
  <c r="E15" i="28"/>
  <c r="M13" i="28"/>
  <c r="H13" i="28"/>
  <c r="M12" i="28"/>
  <c r="E12" i="28"/>
  <c r="M11" i="28"/>
  <c r="H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E48" i="27"/>
  <c r="A48" i="27"/>
  <c r="W47" i="27"/>
  <c r="V47" i="27"/>
  <c r="U47" i="27"/>
  <c r="N47" i="27"/>
  <c r="M47" i="27"/>
  <c r="K47" i="27"/>
  <c r="I47" i="27"/>
  <c r="H47" i="27"/>
  <c r="F47" i="27"/>
  <c r="E47" i="27"/>
  <c r="R47" i="27" s="1"/>
  <c r="A47" i="27"/>
  <c r="H32" i="27" s="1"/>
  <c r="W46" i="27"/>
  <c r="V46" i="27"/>
  <c r="U46" i="27"/>
  <c r="N46" i="27"/>
  <c r="M46" i="27"/>
  <c r="K46" i="27"/>
  <c r="I46" i="27"/>
  <c r="H46" i="27"/>
  <c r="F46" i="27"/>
  <c r="E46" i="27"/>
  <c r="A46" i="27"/>
  <c r="W45" i="27"/>
  <c r="V45" i="27"/>
  <c r="U45" i="27"/>
  <c r="O45" i="27" a="1"/>
  <c r="O45" i="27" s="1"/>
  <c r="N45" i="27"/>
  <c r="M45" i="27"/>
  <c r="K45" i="27"/>
  <c r="I45" i="27"/>
  <c r="H45" i="27"/>
  <c r="F45" i="27"/>
  <c r="E45" i="27"/>
  <c r="A45" i="27"/>
  <c r="H20" i="27" s="1"/>
  <c r="W44" i="27"/>
  <c r="V44" i="27"/>
  <c r="U44" i="27"/>
  <c r="N44" i="27"/>
  <c r="M44" i="27"/>
  <c r="K44" i="27"/>
  <c r="I44" i="27"/>
  <c r="H44" i="27"/>
  <c r="F44" i="27"/>
  <c r="E44" i="27"/>
  <c r="A44" i="27"/>
  <c r="H38" i="27" s="1"/>
  <c r="W43" i="27"/>
  <c r="V43" i="27"/>
  <c r="U43" i="27"/>
  <c r="N43" i="27"/>
  <c r="M43" i="27"/>
  <c r="K43" i="27"/>
  <c r="I43" i="27"/>
  <c r="H43" i="27"/>
  <c r="F43" i="27"/>
  <c r="E43" i="27"/>
  <c r="A43" i="27"/>
  <c r="E32" i="27" s="1"/>
  <c r="W42" i="27"/>
  <c r="V42" i="27"/>
  <c r="U42" i="27"/>
  <c r="N42" i="27"/>
  <c r="M42" i="27"/>
  <c r="K42" i="27"/>
  <c r="I42" i="27"/>
  <c r="H42" i="27"/>
  <c r="F42" i="27"/>
  <c r="E42" i="27"/>
  <c r="T42" i="27" s="1"/>
  <c r="A42" i="27"/>
  <c r="H37" i="27" s="1"/>
  <c r="W41" i="27"/>
  <c r="V41" i="27"/>
  <c r="U41" i="27"/>
  <c r="N41" i="27"/>
  <c r="M41" i="27"/>
  <c r="K41" i="27"/>
  <c r="O41" i="27" s="1" a="1"/>
  <c r="O41" i="27" s="1"/>
  <c r="I41" i="27"/>
  <c r="H41" i="27"/>
  <c r="F41" i="27"/>
  <c r="E41" i="27"/>
  <c r="A41" i="27"/>
  <c r="E34" i="27" s="1"/>
  <c r="M38" i="27"/>
  <c r="M37" i="27"/>
  <c r="M36" i="27"/>
  <c r="E36" i="27"/>
  <c r="M34" i="27"/>
  <c r="M33" i="27"/>
  <c r="H33" i="27"/>
  <c r="M32" i="27"/>
  <c r="M30" i="27"/>
  <c r="M29" i="27"/>
  <c r="E29" i="27"/>
  <c r="M27" i="27"/>
  <c r="H27" i="27"/>
  <c r="M25" i="27"/>
  <c r="M24" i="27"/>
  <c r="H24" i="27"/>
  <c r="E24" i="27"/>
  <c r="M23" i="27"/>
  <c r="M21" i="27"/>
  <c r="M20" i="27"/>
  <c r="M19" i="27"/>
  <c r="M17" i="27"/>
  <c r="E17" i="27"/>
  <c r="M16" i="27"/>
  <c r="M15" i="27"/>
  <c r="M13" i="27"/>
  <c r="H13" i="27"/>
  <c r="M12" i="27"/>
  <c r="E12" i="27"/>
  <c r="M11" i="27"/>
  <c r="H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O48" i="26" s="1" a="1"/>
  <c r="O48" i="26" s="1"/>
  <c r="X48" i="26" s="1"/>
  <c r="E48" i="26"/>
  <c r="S48" i="26" s="1"/>
  <c r="A48" i="26"/>
  <c r="W47" i="26"/>
  <c r="V47" i="26"/>
  <c r="U47" i="26"/>
  <c r="N47" i="26"/>
  <c r="M47" i="26"/>
  <c r="K47" i="26"/>
  <c r="I47" i="26"/>
  <c r="H47" i="26"/>
  <c r="F47" i="26"/>
  <c r="E47" i="26"/>
  <c r="A47" i="26"/>
  <c r="W46" i="26"/>
  <c r="V46" i="26"/>
  <c r="U46" i="26"/>
  <c r="N46" i="26"/>
  <c r="M46" i="26"/>
  <c r="K46" i="26"/>
  <c r="I46" i="26"/>
  <c r="H46" i="26"/>
  <c r="F46" i="26"/>
  <c r="E46" i="26"/>
  <c r="T46" i="26" s="1"/>
  <c r="A46" i="26"/>
  <c r="E36" i="26" s="1"/>
  <c r="W45" i="26"/>
  <c r="V45" i="26"/>
  <c r="U45" i="26"/>
  <c r="N45" i="26"/>
  <c r="M45" i="26"/>
  <c r="K45" i="26"/>
  <c r="I45" i="26"/>
  <c r="H45" i="26"/>
  <c r="F45" i="26"/>
  <c r="E45" i="26"/>
  <c r="A45" i="26"/>
  <c r="H20" i="26" s="1"/>
  <c r="W44" i="26"/>
  <c r="V44" i="26"/>
  <c r="U44" i="26"/>
  <c r="N44" i="26"/>
  <c r="M44" i="26"/>
  <c r="K44" i="26"/>
  <c r="I44" i="26"/>
  <c r="H44" i="26"/>
  <c r="F44" i="26"/>
  <c r="E44" i="26"/>
  <c r="A44" i="26"/>
  <c r="E16" i="26" s="1"/>
  <c r="W43" i="26"/>
  <c r="V43" i="26"/>
  <c r="U43" i="26"/>
  <c r="N43" i="26"/>
  <c r="M43" i="26"/>
  <c r="K43" i="26"/>
  <c r="I43" i="26"/>
  <c r="H43" i="26"/>
  <c r="F43" i="26"/>
  <c r="R43" i="26" s="1"/>
  <c r="E43" i="26"/>
  <c r="A43" i="26"/>
  <c r="E27" i="26" s="1"/>
  <c r="W42" i="26"/>
  <c r="V42" i="26"/>
  <c r="U42" i="26"/>
  <c r="N42" i="26"/>
  <c r="M42" i="26"/>
  <c r="K42" i="26"/>
  <c r="I42" i="26"/>
  <c r="H42" i="26"/>
  <c r="F42" i="26"/>
  <c r="E42" i="26"/>
  <c r="O42" i="26" s="1" a="1"/>
  <c r="O42" i="26" s="1"/>
  <c r="A42" i="26"/>
  <c r="H19" i="26" s="1"/>
  <c r="W41" i="26"/>
  <c r="V41" i="26"/>
  <c r="U41" i="26"/>
  <c r="N41" i="26"/>
  <c r="M41" i="26"/>
  <c r="K41" i="26"/>
  <c r="I41" i="26"/>
  <c r="H41" i="26"/>
  <c r="F41" i="26"/>
  <c r="E41" i="26"/>
  <c r="T41" i="26" s="1"/>
  <c r="A41" i="26"/>
  <c r="E34" i="26" s="1"/>
  <c r="M38" i="26"/>
  <c r="H38" i="26"/>
  <c r="E38" i="26"/>
  <c r="M37" i="26"/>
  <c r="E37" i="26"/>
  <c r="M36" i="26"/>
  <c r="H36" i="26"/>
  <c r="M34" i="26"/>
  <c r="M33" i="26"/>
  <c r="H33" i="26"/>
  <c r="M32" i="26"/>
  <c r="H32" i="26"/>
  <c r="E32" i="26"/>
  <c r="M30" i="26"/>
  <c r="E30" i="26"/>
  <c r="M29" i="26"/>
  <c r="E29" i="26"/>
  <c r="M27" i="26"/>
  <c r="M25" i="26"/>
  <c r="H25" i="26"/>
  <c r="E25" i="26"/>
  <c r="M24" i="26"/>
  <c r="H24" i="26"/>
  <c r="M23" i="26"/>
  <c r="M21" i="26"/>
  <c r="H21" i="26"/>
  <c r="M20" i="26"/>
  <c r="E20" i="26"/>
  <c r="M19" i="26"/>
  <c r="E19" i="26"/>
  <c r="M17" i="26"/>
  <c r="H17" i="26"/>
  <c r="M16" i="26"/>
  <c r="M15" i="26"/>
  <c r="H15" i="26"/>
  <c r="E15" i="26"/>
  <c r="M13" i="26"/>
  <c r="M12" i="26"/>
  <c r="E12" i="26"/>
  <c r="M11" i="26"/>
  <c r="H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S48" i="25" s="1"/>
  <c r="E48" i="25"/>
  <c r="A48" i="25"/>
  <c r="W47" i="25"/>
  <c r="V47" i="25"/>
  <c r="U47" i="25"/>
  <c r="N47" i="25"/>
  <c r="M47" i="25"/>
  <c r="K47" i="25"/>
  <c r="I47" i="25"/>
  <c r="H47" i="25"/>
  <c r="F47" i="25"/>
  <c r="E47" i="25"/>
  <c r="A47" i="25"/>
  <c r="W46" i="25"/>
  <c r="V46" i="25"/>
  <c r="U46" i="25"/>
  <c r="N46" i="25"/>
  <c r="M46" i="25"/>
  <c r="K46" i="25"/>
  <c r="I46" i="25"/>
  <c r="H46" i="25"/>
  <c r="F46" i="25"/>
  <c r="E46" i="25"/>
  <c r="A46" i="25"/>
  <c r="E36" i="25" s="1"/>
  <c r="W45" i="25"/>
  <c r="V45" i="25"/>
  <c r="U45" i="25"/>
  <c r="N45" i="25"/>
  <c r="M45" i="25"/>
  <c r="K45" i="25"/>
  <c r="I45" i="25"/>
  <c r="H45" i="25"/>
  <c r="F45" i="25"/>
  <c r="E45" i="25"/>
  <c r="A45" i="25"/>
  <c r="H20" i="25" s="1"/>
  <c r="W44" i="25"/>
  <c r="V44" i="25"/>
  <c r="U44" i="25"/>
  <c r="N44" i="25"/>
  <c r="M44" i="25"/>
  <c r="K44" i="25"/>
  <c r="I44" i="25"/>
  <c r="H44" i="25"/>
  <c r="F44" i="25"/>
  <c r="E44" i="25"/>
  <c r="A44" i="25"/>
  <c r="E16" i="25" s="1"/>
  <c r="W43" i="25"/>
  <c r="V43" i="25"/>
  <c r="U43" i="25"/>
  <c r="N43" i="25"/>
  <c r="M43" i="25"/>
  <c r="K43" i="25"/>
  <c r="I43" i="25"/>
  <c r="H43" i="25"/>
  <c r="F43" i="25"/>
  <c r="Q43" i="25" s="1"/>
  <c r="E43" i="25"/>
  <c r="A43" i="25"/>
  <c r="E27" i="25" s="1"/>
  <c r="W42" i="25"/>
  <c r="V42" i="25"/>
  <c r="U42" i="25"/>
  <c r="N42" i="25"/>
  <c r="M42" i="25"/>
  <c r="K42" i="25"/>
  <c r="I42" i="25"/>
  <c r="H42" i="25"/>
  <c r="F42" i="25"/>
  <c r="E42" i="25"/>
  <c r="A42" i="25"/>
  <c r="H19" i="25" s="1"/>
  <c r="W41" i="25"/>
  <c r="V41" i="25"/>
  <c r="U41" i="25"/>
  <c r="N41" i="25"/>
  <c r="M41" i="25"/>
  <c r="K41" i="25"/>
  <c r="I41" i="25"/>
  <c r="H41" i="25"/>
  <c r="F41" i="25"/>
  <c r="E41" i="25"/>
  <c r="T41" i="25" s="1"/>
  <c r="A41" i="25"/>
  <c r="E34" i="25" s="1"/>
  <c r="M38" i="25"/>
  <c r="H38" i="25"/>
  <c r="E38" i="25"/>
  <c r="M37" i="25"/>
  <c r="M36" i="25"/>
  <c r="M34" i="25"/>
  <c r="M33" i="25"/>
  <c r="M32" i="25"/>
  <c r="H32" i="25"/>
  <c r="E32" i="25"/>
  <c r="M30" i="25"/>
  <c r="E30" i="25"/>
  <c r="M29" i="25"/>
  <c r="E29" i="25"/>
  <c r="M27" i="25"/>
  <c r="M25" i="25"/>
  <c r="H25" i="25"/>
  <c r="E25" i="25"/>
  <c r="M24" i="25"/>
  <c r="H24" i="25"/>
  <c r="M23" i="25"/>
  <c r="M21" i="25"/>
  <c r="H21" i="25"/>
  <c r="M20" i="25"/>
  <c r="E20" i="25"/>
  <c r="M19" i="25"/>
  <c r="E19" i="25"/>
  <c r="M17" i="25"/>
  <c r="H17" i="25"/>
  <c r="E17" i="25"/>
  <c r="M16" i="25"/>
  <c r="M15" i="25"/>
  <c r="H15" i="25"/>
  <c r="E15" i="25"/>
  <c r="M13" i="25"/>
  <c r="M12" i="25"/>
  <c r="E12" i="25"/>
  <c r="M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E48" i="24"/>
  <c r="A48" i="24"/>
  <c r="W47" i="24"/>
  <c r="V47" i="24"/>
  <c r="U47" i="24"/>
  <c r="N47" i="24"/>
  <c r="M47" i="24"/>
  <c r="K47" i="24"/>
  <c r="I47" i="24"/>
  <c r="O47" i="24" s="1" a="1"/>
  <c r="O47" i="24" s="1"/>
  <c r="X47" i="24" s="1"/>
  <c r="H47" i="24"/>
  <c r="F47" i="24"/>
  <c r="E47" i="24"/>
  <c r="A47" i="24"/>
  <c r="H32" i="24" s="1"/>
  <c r="W46" i="24"/>
  <c r="V46" i="24"/>
  <c r="U46" i="24"/>
  <c r="N46" i="24"/>
  <c r="M46" i="24"/>
  <c r="K46" i="24"/>
  <c r="I46" i="24"/>
  <c r="H46" i="24"/>
  <c r="F46" i="24"/>
  <c r="E46" i="24"/>
  <c r="A46" i="24"/>
  <c r="E36" i="24" s="1"/>
  <c r="W45" i="24"/>
  <c r="V45" i="24"/>
  <c r="U45" i="24"/>
  <c r="N45" i="24"/>
  <c r="M45" i="24"/>
  <c r="K45" i="24"/>
  <c r="I45" i="24"/>
  <c r="H45" i="24"/>
  <c r="F45" i="24"/>
  <c r="E45" i="24"/>
  <c r="O45" i="24" s="1" a="1"/>
  <c r="O45" i="24" s="1"/>
  <c r="X45" i="24" s="1"/>
  <c r="A45" i="24"/>
  <c r="H20" i="24" s="1"/>
  <c r="W44" i="24"/>
  <c r="V44" i="24"/>
  <c r="U44" i="24"/>
  <c r="N44" i="24"/>
  <c r="M44" i="24"/>
  <c r="K44" i="24"/>
  <c r="I44" i="24"/>
  <c r="H44" i="24"/>
  <c r="F44" i="24"/>
  <c r="O44" i="24" s="1" a="1"/>
  <c r="O44" i="24" s="1"/>
  <c r="X44" i="24" s="1"/>
  <c r="E44" i="24"/>
  <c r="A44" i="24"/>
  <c r="W43" i="24"/>
  <c r="V43" i="24"/>
  <c r="U43" i="24"/>
  <c r="N43" i="24"/>
  <c r="M43" i="24"/>
  <c r="K43" i="24"/>
  <c r="I43" i="24"/>
  <c r="H43" i="24"/>
  <c r="F43" i="24"/>
  <c r="E43" i="24"/>
  <c r="A43" i="24"/>
  <c r="E32" i="24" s="1"/>
  <c r="W42" i="24"/>
  <c r="V42" i="24"/>
  <c r="U42" i="24"/>
  <c r="N42" i="24"/>
  <c r="M42" i="24"/>
  <c r="K42" i="24"/>
  <c r="I42" i="24"/>
  <c r="H42" i="24"/>
  <c r="F42" i="24"/>
  <c r="E42" i="24"/>
  <c r="A42" i="24"/>
  <c r="H37" i="24" s="1"/>
  <c r="W41" i="24"/>
  <c r="V41" i="24"/>
  <c r="U41" i="24"/>
  <c r="N41" i="24"/>
  <c r="M41" i="24"/>
  <c r="K41" i="24"/>
  <c r="I41" i="24"/>
  <c r="S41" i="24" s="1"/>
  <c r="H41" i="24"/>
  <c r="F41" i="24"/>
  <c r="E41" i="24"/>
  <c r="A41" i="24"/>
  <c r="E34" i="24" s="1"/>
  <c r="M38" i="24"/>
  <c r="H38" i="24"/>
  <c r="M37" i="24"/>
  <c r="M36" i="24"/>
  <c r="M34" i="24"/>
  <c r="M33" i="24"/>
  <c r="H33" i="24"/>
  <c r="M32" i="24"/>
  <c r="M30" i="24"/>
  <c r="M29" i="24"/>
  <c r="E29" i="24"/>
  <c r="M27" i="24"/>
  <c r="M25" i="24"/>
  <c r="E25" i="24"/>
  <c r="M24" i="24"/>
  <c r="H24" i="24"/>
  <c r="M23" i="24"/>
  <c r="M21" i="24"/>
  <c r="M20" i="24"/>
  <c r="M19" i="24"/>
  <c r="E19" i="24"/>
  <c r="M17" i="24"/>
  <c r="H17" i="24"/>
  <c r="E17" i="24"/>
  <c r="M16" i="24"/>
  <c r="E16" i="24"/>
  <c r="M15" i="24"/>
  <c r="M13" i="24"/>
  <c r="H13" i="24"/>
  <c r="M12" i="24"/>
  <c r="H12" i="24"/>
  <c r="M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O48" i="23" s="1" a="1"/>
  <c r="O48" i="23" s="1"/>
  <c r="X48" i="23" s="1"/>
  <c r="A48" i="23"/>
  <c r="W47" i="23"/>
  <c r="V47" i="23"/>
  <c r="U47" i="23"/>
  <c r="N47" i="23"/>
  <c r="M47" i="23"/>
  <c r="K47" i="23"/>
  <c r="I47" i="23"/>
  <c r="T47" i="23" s="1"/>
  <c r="H47" i="23"/>
  <c r="F47" i="23"/>
  <c r="E47" i="23"/>
  <c r="A47" i="23"/>
  <c r="H17" i="23" s="1"/>
  <c r="W46" i="23"/>
  <c r="V46" i="23"/>
  <c r="U46" i="23"/>
  <c r="N46" i="23"/>
  <c r="M46" i="23"/>
  <c r="K46" i="23"/>
  <c r="I46" i="23"/>
  <c r="H46" i="23"/>
  <c r="F46" i="23"/>
  <c r="E46" i="23"/>
  <c r="A46" i="23"/>
  <c r="E36" i="23" s="1"/>
  <c r="W45" i="23"/>
  <c r="V45" i="23"/>
  <c r="U45" i="23"/>
  <c r="N45" i="23"/>
  <c r="M45" i="23"/>
  <c r="K45" i="23"/>
  <c r="I45" i="23"/>
  <c r="H45" i="23"/>
  <c r="F45" i="23"/>
  <c r="O45" i="23" s="1" a="1"/>
  <c r="O45" i="23" s="1"/>
  <c r="X45" i="23" s="1"/>
  <c r="E45" i="23"/>
  <c r="A45" i="23"/>
  <c r="H20" i="23" s="1"/>
  <c r="W44" i="23"/>
  <c r="V44" i="23"/>
  <c r="U44" i="23"/>
  <c r="N44" i="23"/>
  <c r="M44" i="23"/>
  <c r="K44" i="23"/>
  <c r="I44" i="23"/>
  <c r="H44" i="23"/>
  <c r="F44" i="23"/>
  <c r="E44" i="23"/>
  <c r="A44" i="23"/>
  <c r="W43" i="23"/>
  <c r="V43" i="23"/>
  <c r="U43" i="23"/>
  <c r="N43" i="23"/>
  <c r="M43" i="23"/>
  <c r="K43" i="23"/>
  <c r="I43" i="23"/>
  <c r="H43" i="23"/>
  <c r="F43" i="23"/>
  <c r="E43" i="23"/>
  <c r="R43" i="23" s="1"/>
  <c r="A43" i="23"/>
  <c r="E27" i="23" s="1"/>
  <c r="W42" i="23"/>
  <c r="V42" i="23"/>
  <c r="U42" i="23"/>
  <c r="N42" i="23"/>
  <c r="M42" i="23"/>
  <c r="K42" i="23"/>
  <c r="I42" i="23"/>
  <c r="H42" i="23"/>
  <c r="F42" i="23"/>
  <c r="E42" i="23"/>
  <c r="A42" i="23"/>
  <c r="H19" i="23" s="1"/>
  <c r="W41" i="23"/>
  <c r="V41" i="23"/>
  <c r="U41" i="23"/>
  <c r="O41" i="23" a="1"/>
  <c r="O41" i="23" s="1"/>
  <c r="X41" i="23" s="1"/>
  <c r="N41" i="23"/>
  <c r="M41" i="23"/>
  <c r="K41" i="23"/>
  <c r="I41" i="23"/>
  <c r="H41" i="23"/>
  <c r="F41" i="23"/>
  <c r="E41" i="23"/>
  <c r="A41" i="23"/>
  <c r="H29" i="23" s="1"/>
  <c r="M38" i="23"/>
  <c r="H38" i="23"/>
  <c r="M37" i="23"/>
  <c r="M36" i="23"/>
  <c r="M34" i="23"/>
  <c r="M33" i="23"/>
  <c r="H33" i="23"/>
  <c r="M32" i="23"/>
  <c r="E32" i="23"/>
  <c r="M30" i="23"/>
  <c r="M29" i="23"/>
  <c r="E29" i="23"/>
  <c r="M27" i="23"/>
  <c r="M25" i="23"/>
  <c r="H25" i="23"/>
  <c r="M24" i="23"/>
  <c r="H24" i="23"/>
  <c r="M23" i="23"/>
  <c r="H23" i="23"/>
  <c r="M21" i="23"/>
  <c r="M20" i="23"/>
  <c r="E20" i="23"/>
  <c r="M19" i="23"/>
  <c r="E19" i="23"/>
  <c r="M17" i="23"/>
  <c r="E17" i="23"/>
  <c r="M16" i="23"/>
  <c r="E16" i="23"/>
  <c r="M15" i="23"/>
  <c r="H15" i="23"/>
  <c r="M13" i="23"/>
  <c r="H13" i="23"/>
  <c r="M12" i="23"/>
  <c r="H12" i="23"/>
  <c r="E12" i="23"/>
  <c r="M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A48" i="22"/>
  <c r="W47" i="22"/>
  <c r="V47" i="22"/>
  <c r="U47" i="22"/>
  <c r="N47" i="22"/>
  <c r="M47" i="22"/>
  <c r="K47" i="22"/>
  <c r="I47" i="22"/>
  <c r="H47" i="22"/>
  <c r="F47" i="22"/>
  <c r="E47" i="22"/>
  <c r="O47" i="22" s="1" a="1"/>
  <c r="O47" i="22" s="1"/>
  <c r="A47" i="22"/>
  <c r="W46" i="22"/>
  <c r="V46" i="22"/>
  <c r="U46" i="22"/>
  <c r="N46" i="22"/>
  <c r="M46" i="22"/>
  <c r="K46" i="22"/>
  <c r="I46" i="22"/>
  <c r="H46" i="22"/>
  <c r="F46" i="22"/>
  <c r="E46" i="22"/>
  <c r="A46" i="22"/>
  <c r="E36" i="22" s="1"/>
  <c r="W45" i="22"/>
  <c r="V45" i="22"/>
  <c r="U45" i="22"/>
  <c r="O45" i="22" a="1"/>
  <c r="O45" i="22" s="1"/>
  <c r="N45" i="22"/>
  <c r="M45" i="22"/>
  <c r="K45" i="22"/>
  <c r="I45" i="22"/>
  <c r="H45" i="22"/>
  <c r="F45" i="22"/>
  <c r="E45" i="22"/>
  <c r="A45" i="22"/>
  <c r="H20" i="22" s="1"/>
  <c r="W44" i="22"/>
  <c r="V44" i="22"/>
  <c r="U44" i="22"/>
  <c r="N44" i="22"/>
  <c r="M44" i="22"/>
  <c r="K44" i="22"/>
  <c r="I44" i="22"/>
  <c r="H44" i="22"/>
  <c r="F44" i="22"/>
  <c r="E44" i="22"/>
  <c r="A44" i="22"/>
  <c r="E16" i="22" s="1"/>
  <c r="W43" i="22"/>
  <c r="V43" i="22"/>
  <c r="U43" i="22"/>
  <c r="N43" i="22"/>
  <c r="M43" i="22"/>
  <c r="K43" i="22"/>
  <c r="I43" i="22"/>
  <c r="H43" i="22"/>
  <c r="F43" i="22"/>
  <c r="E43" i="22"/>
  <c r="A43" i="22"/>
  <c r="E32" i="22" s="1"/>
  <c r="W42" i="22"/>
  <c r="V42" i="22"/>
  <c r="U42" i="22"/>
  <c r="N42" i="22"/>
  <c r="M42" i="22"/>
  <c r="K42" i="22"/>
  <c r="I42" i="22"/>
  <c r="H42" i="22"/>
  <c r="F42" i="22"/>
  <c r="E42" i="22"/>
  <c r="T42" i="22" s="1"/>
  <c r="A42" i="22"/>
  <c r="H19" i="22" s="1"/>
  <c r="W41" i="22"/>
  <c r="V41" i="22"/>
  <c r="U41" i="22"/>
  <c r="N41" i="22"/>
  <c r="M41" i="22"/>
  <c r="K41" i="22"/>
  <c r="I41" i="22"/>
  <c r="H41" i="22"/>
  <c r="F41" i="22"/>
  <c r="E41" i="22"/>
  <c r="O41" i="22" s="1" a="1"/>
  <c r="O41" i="22" s="1"/>
  <c r="A41" i="22"/>
  <c r="E34" i="22" s="1"/>
  <c r="M38" i="22"/>
  <c r="H38" i="22"/>
  <c r="E38" i="22"/>
  <c r="M37" i="22"/>
  <c r="M36" i="22"/>
  <c r="H36" i="22"/>
  <c r="M34" i="22"/>
  <c r="M33" i="22"/>
  <c r="M32" i="22"/>
  <c r="H32" i="22"/>
  <c r="M30" i="22"/>
  <c r="E30" i="22"/>
  <c r="M29" i="22"/>
  <c r="E29" i="22"/>
  <c r="M27" i="22"/>
  <c r="E27" i="22"/>
  <c r="M25" i="22"/>
  <c r="H25" i="22"/>
  <c r="E25" i="22"/>
  <c r="M24" i="22"/>
  <c r="H24" i="22"/>
  <c r="M23" i="22"/>
  <c r="M21" i="22"/>
  <c r="H21" i="22"/>
  <c r="M20" i="22"/>
  <c r="E20" i="22"/>
  <c r="M19" i="22"/>
  <c r="E19" i="22"/>
  <c r="M17" i="22"/>
  <c r="H17" i="22"/>
  <c r="E17" i="22"/>
  <c r="M16" i="22"/>
  <c r="M15" i="22"/>
  <c r="H15" i="22"/>
  <c r="E15" i="22"/>
  <c r="M13" i="22"/>
  <c r="M12" i="22"/>
  <c r="E12" i="22"/>
  <c r="M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E48" i="21"/>
  <c r="A48" i="21"/>
  <c r="W47" i="21"/>
  <c r="V47" i="21"/>
  <c r="U47" i="21"/>
  <c r="N47" i="21"/>
  <c r="M47" i="21"/>
  <c r="K47" i="21"/>
  <c r="I47" i="21"/>
  <c r="S47" i="21" s="1"/>
  <c r="H47" i="21"/>
  <c r="F47" i="21"/>
  <c r="E47" i="21"/>
  <c r="A47" i="21"/>
  <c r="H32" i="21" s="1"/>
  <c r="W46" i="21"/>
  <c r="V46" i="21"/>
  <c r="U46" i="21"/>
  <c r="N46" i="21"/>
  <c r="M46" i="21"/>
  <c r="K46" i="21"/>
  <c r="I46" i="21"/>
  <c r="H46" i="21"/>
  <c r="F46" i="21"/>
  <c r="E46" i="21"/>
  <c r="A46" i="21"/>
  <c r="E36" i="21" s="1"/>
  <c r="W45" i="21"/>
  <c r="V45" i="21"/>
  <c r="U45" i="21"/>
  <c r="N45" i="21"/>
  <c r="M45" i="21"/>
  <c r="K45" i="21"/>
  <c r="I45" i="21"/>
  <c r="H45" i="21"/>
  <c r="F45" i="21"/>
  <c r="O45" i="21" s="1" a="1"/>
  <c r="O45" i="21" s="1"/>
  <c r="E45" i="21"/>
  <c r="A45" i="21"/>
  <c r="H20" i="21" s="1"/>
  <c r="W44" i="21"/>
  <c r="V44" i="21"/>
  <c r="U44" i="21"/>
  <c r="N44" i="21"/>
  <c r="M44" i="21"/>
  <c r="K44" i="21"/>
  <c r="I44" i="21"/>
  <c r="H44" i="21"/>
  <c r="F44" i="21"/>
  <c r="E44" i="21"/>
  <c r="A44" i="21"/>
  <c r="H38" i="21" s="1"/>
  <c r="W43" i="21"/>
  <c r="V43" i="21"/>
  <c r="U43" i="21"/>
  <c r="N43" i="21"/>
  <c r="M43" i="21"/>
  <c r="K43" i="21"/>
  <c r="I43" i="21"/>
  <c r="H43" i="21"/>
  <c r="F43" i="21"/>
  <c r="E43" i="21"/>
  <c r="R43" i="21" s="1"/>
  <c r="A43" i="21"/>
  <c r="E32" i="21" s="1"/>
  <c r="W42" i="21"/>
  <c r="V42" i="21"/>
  <c r="U42" i="21"/>
  <c r="N42" i="21"/>
  <c r="M42" i="21"/>
  <c r="K42" i="21"/>
  <c r="I42" i="21"/>
  <c r="H42" i="21"/>
  <c r="F42" i="21"/>
  <c r="E42" i="21"/>
  <c r="A42" i="21"/>
  <c r="H19" i="21" s="1"/>
  <c r="W41" i="21"/>
  <c r="V41" i="21"/>
  <c r="U41" i="21"/>
  <c r="O41" i="21" a="1"/>
  <c r="O41" i="21" s="1"/>
  <c r="N41" i="21"/>
  <c r="M41" i="21"/>
  <c r="K41" i="21"/>
  <c r="I41" i="21"/>
  <c r="H41" i="21"/>
  <c r="F41" i="21"/>
  <c r="E41" i="21"/>
  <c r="A41" i="21"/>
  <c r="E34" i="21" s="1"/>
  <c r="M38" i="21"/>
  <c r="M37" i="21"/>
  <c r="M36" i="21"/>
  <c r="M34" i="21"/>
  <c r="M33" i="21"/>
  <c r="H33" i="21"/>
  <c r="M32" i="21"/>
  <c r="M30" i="21"/>
  <c r="E30" i="21"/>
  <c r="M29" i="21"/>
  <c r="E29" i="21"/>
  <c r="M27" i="21"/>
  <c r="M25" i="21"/>
  <c r="M24" i="21"/>
  <c r="H24" i="21"/>
  <c r="M23" i="21"/>
  <c r="M21" i="21"/>
  <c r="M20" i="21"/>
  <c r="M19" i="21"/>
  <c r="E19" i="21"/>
  <c r="M17" i="21"/>
  <c r="H17" i="21"/>
  <c r="E17" i="21"/>
  <c r="M16" i="21"/>
  <c r="E16" i="21"/>
  <c r="M15" i="21"/>
  <c r="H15" i="21"/>
  <c r="M13" i="21"/>
  <c r="H13" i="21"/>
  <c r="M12" i="21"/>
  <c r="H12" i="21"/>
  <c r="M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A48" i="20"/>
  <c r="W47" i="20"/>
  <c r="V47" i="20"/>
  <c r="U47" i="20"/>
  <c r="N47" i="20"/>
  <c r="M47" i="20"/>
  <c r="K47" i="20"/>
  <c r="I47" i="20"/>
  <c r="S47" i="20" s="1"/>
  <c r="H47" i="20"/>
  <c r="F47" i="20"/>
  <c r="E47" i="20"/>
  <c r="A47" i="20"/>
  <c r="E38" i="20" s="1"/>
  <c r="W46" i="20"/>
  <c r="V46" i="20"/>
  <c r="U46" i="20"/>
  <c r="N46" i="20"/>
  <c r="M46" i="20"/>
  <c r="K46" i="20"/>
  <c r="I46" i="20"/>
  <c r="H46" i="20"/>
  <c r="F46" i="20"/>
  <c r="E46" i="20"/>
  <c r="A46" i="20"/>
  <c r="W45" i="20"/>
  <c r="V45" i="20"/>
  <c r="U45" i="20"/>
  <c r="N45" i="20"/>
  <c r="M45" i="20"/>
  <c r="K45" i="20"/>
  <c r="I45" i="20"/>
  <c r="H45" i="20"/>
  <c r="F45" i="20"/>
  <c r="R45" i="20" s="1"/>
  <c r="E45" i="20"/>
  <c r="A45" i="20"/>
  <c r="H16" i="20" s="1"/>
  <c r="W44" i="20"/>
  <c r="V44" i="20"/>
  <c r="U44" i="20"/>
  <c r="N44" i="20"/>
  <c r="M44" i="20"/>
  <c r="K44" i="20"/>
  <c r="I44" i="20"/>
  <c r="H44" i="20"/>
  <c r="F44" i="20"/>
  <c r="E44" i="20"/>
  <c r="A44" i="20"/>
  <c r="E16" i="20" s="1"/>
  <c r="W43" i="20"/>
  <c r="V43" i="20"/>
  <c r="U43" i="20"/>
  <c r="N43" i="20"/>
  <c r="M43" i="20"/>
  <c r="K43" i="20"/>
  <c r="I43" i="20"/>
  <c r="H43" i="20"/>
  <c r="F43" i="20"/>
  <c r="E43" i="20"/>
  <c r="A43" i="20"/>
  <c r="E32" i="20" s="1"/>
  <c r="W42" i="20"/>
  <c r="V42" i="20"/>
  <c r="U42" i="20"/>
  <c r="N42" i="20"/>
  <c r="M42" i="20"/>
  <c r="K42" i="20"/>
  <c r="I42" i="20"/>
  <c r="H42" i="20"/>
  <c r="F42" i="20"/>
  <c r="E42" i="20"/>
  <c r="A42" i="20"/>
  <c r="H37" i="20" s="1"/>
  <c r="W41" i="20"/>
  <c r="V41" i="20"/>
  <c r="U41" i="20"/>
  <c r="N41" i="20"/>
  <c r="M41" i="20"/>
  <c r="K41" i="20"/>
  <c r="I41" i="20"/>
  <c r="H41" i="20"/>
  <c r="F41" i="20"/>
  <c r="E41" i="20"/>
  <c r="A41" i="20"/>
  <c r="E34" i="20" s="1"/>
  <c r="M38" i="20"/>
  <c r="H38" i="20"/>
  <c r="M37" i="20"/>
  <c r="M36" i="20"/>
  <c r="E36" i="20"/>
  <c r="M34" i="20"/>
  <c r="M33" i="20"/>
  <c r="H33" i="20"/>
  <c r="M32" i="20"/>
  <c r="H32" i="20"/>
  <c r="M30" i="20"/>
  <c r="M29" i="20"/>
  <c r="E29" i="20"/>
  <c r="M27" i="20"/>
  <c r="H27" i="20"/>
  <c r="M25" i="20"/>
  <c r="H25" i="20"/>
  <c r="M24" i="20"/>
  <c r="H24" i="20"/>
  <c r="E24" i="20"/>
  <c r="M23" i="20"/>
  <c r="M21" i="20"/>
  <c r="M20" i="20"/>
  <c r="H20" i="20"/>
  <c r="M19" i="20"/>
  <c r="H19" i="20"/>
  <c r="E19" i="20"/>
  <c r="M17" i="20"/>
  <c r="E17" i="20"/>
  <c r="M16" i="20"/>
  <c r="M15" i="20"/>
  <c r="M13" i="20"/>
  <c r="H13" i="20"/>
  <c r="E13" i="20"/>
  <c r="M12" i="20"/>
  <c r="M11" i="20"/>
  <c r="H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E48" i="19"/>
  <c r="A48" i="19"/>
  <c r="W47" i="19"/>
  <c r="V47" i="19"/>
  <c r="U47" i="19"/>
  <c r="N47" i="19"/>
  <c r="M47" i="19"/>
  <c r="K47" i="19"/>
  <c r="I47" i="19"/>
  <c r="H47" i="19"/>
  <c r="F47" i="19"/>
  <c r="E47" i="19"/>
  <c r="A47" i="19"/>
  <c r="H32" i="19" s="1"/>
  <c r="W46" i="19"/>
  <c r="V46" i="19"/>
  <c r="U46" i="19"/>
  <c r="N46" i="19"/>
  <c r="M46" i="19"/>
  <c r="O46" i="19" s="1" a="1"/>
  <c r="O46" i="19" s="1"/>
  <c r="K46" i="19"/>
  <c r="I46" i="19"/>
  <c r="H46" i="19"/>
  <c r="F46" i="19"/>
  <c r="E46" i="19"/>
  <c r="A46" i="19"/>
  <c r="E36" i="19" s="1"/>
  <c r="W45" i="19"/>
  <c r="V45" i="19"/>
  <c r="U45" i="19"/>
  <c r="N45" i="19"/>
  <c r="M45" i="19"/>
  <c r="K45" i="19"/>
  <c r="I45" i="19"/>
  <c r="H45" i="19"/>
  <c r="F45" i="19"/>
  <c r="E45" i="19"/>
  <c r="O45" i="19" s="1" a="1"/>
  <c r="O45" i="19" s="1"/>
  <c r="A45" i="19"/>
  <c r="H20" i="19" s="1"/>
  <c r="W44" i="19"/>
  <c r="V44" i="19"/>
  <c r="U44" i="19"/>
  <c r="N44" i="19"/>
  <c r="M44" i="19"/>
  <c r="K44" i="19"/>
  <c r="I44" i="19"/>
  <c r="H44" i="19"/>
  <c r="F44" i="19"/>
  <c r="E44" i="19"/>
  <c r="A44" i="19"/>
  <c r="W43" i="19"/>
  <c r="V43" i="19"/>
  <c r="U43" i="19"/>
  <c r="N43" i="19"/>
  <c r="M43" i="19"/>
  <c r="K43" i="19"/>
  <c r="I43" i="19"/>
  <c r="T43" i="19" s="1"/>
  <c r="H43" i="19"/>
  <c r="F43" i="19"/>
  <c r="E43" i="19"/>
  <c r="A43" i="19"/>
  <c r="E32" i="19" s="1"/>
  <c r="W42" i="19"/>
  <c r="V42" i="19"/>
  <c r="U42" i="19"/>
  <c r="N42" i="19"/>
  <c r="M42" i="19"/>
  <c r="K42" i="19"/>
  <c r="I42" i="19"/>
  <c r="H42" i="19"/>
  <c r="F42" i="19"/>
  <c r="E42" i="19"/>
  <c r="A42" i="19"/>
  <c r="H19" i="19" s="1"/>
  <c r="W41" i="19"/>
  <c r="V41" i="19"/>
  <c r="U41" i="19"/>
  <c r="N41" i="19"/>
  <c r="M41" i="19"/>
  <c r="K41" i="19"/>
  <c r="I41" i="19"/>
  <c r="H41" i="19"/>
  <c r="F41" i="19"/>
  <c r="E41" i="19"/>
  <c r="O41" i="19" s="1" a="1"/>
  <c r="O41" i="19" s="1"/>
  <c r="A41" i="19"/>
  <c r="E23" i="19" s="1"/>
  <c r="M38" i="19"/>
  <c r="H38" i="19"/>
  <c r="M37" i="19"/>
  <c r="M36" i="19"/>
  <c r="M34" i="19"/>
  <c r="M33" i="19"/>
  <c r="H33" i="19"/>
  <c r="M32" i="19"/>
  <c r="M30" i="19"/>
  <c r="M29" i="19"/>
  <c r="E29" i="19"/>
  <c r="M27" i="19"/>
  <c r="M25" i="19"/>
  <c r="E25" i="19"/>
  <c r="M24" i="19"/>
  <c r="H24" i="19"/>
  <c r="M23" i="19"/>
  <c r="M21" i="19"/>
  <c r="H21" i="19"/>
  <c r="M20" i="19"/>
  <c r="M19" i="19"/>
  <c r="E19" i="19"/>
  <c r="M17" i="19"/>
  <c r="H17" i="19"/>
  <c r="E17" i="19"/>
  <c r="M16" i="19"/>
  <c r="E16" i="19"/>
  <c r="M15" i="19"/>
  <c r="E15" i="19"/>
  <c r="M13" i="19"/>
  <c r="H13" i="19"/>
  <c r="M12" i="19"/>
  <c r="H12" i="19"/>
  <c r="M11" i="19"/>
  <c r="H11" i="19"/>
  <c r="N8" i="19"/>
  <c r="K8" i="19"/>
  <c r="E8" i="19"/>
  <c r="A8" i="19"/>
  <c r="W48" i="18"/>
  <c r="V48" i="18"/>
  <c r="U48" i="18"/>
  <c r="N48" i="18"/>
  <c r="M48" i="18"/>
  <c r="K48" i="18"/>
  <c r="I48" i="18"/>
  <c r="Q48" i="18" s="1"/>
  <c r="H48" i="18"/>
  <c r="F48" i="18"/>
  <c r="E48" i="18"/>
  <c r="A48" i="18"/>
  <c r="W47" i="18"/>
  <c r="V47" i="18"/>
  <c r="U47" i="18"/>
  <c r="N47" i="18"/>
  <c r="M47" i="18"/>
  <c r="K47" i="18"/>
  <c r="I47" i="18"/>
  <c r="H47" i="18"/>
  <c r="F47" i="18"/>
  <c r="E47" i="18"/>
  <c r="A47" i="18"/>
  <c r="E38" i="18" s="1"/>
  <c r="W46" i="18"/>
  <c r="V46" i="18"/>
  <c r="U46" i="18"/>
  <c r="N46" i="18"/>
  <c r="M46" i="18"/>
  <c r="K46" i="18"/>
  <c r="I46" i="18"/>
  <c r="H46" i="18"/>
  <c r="F46" i="18"/>
  <c r="E46" i="18"/>
  <c r="A46" i="18"/>
  <c r="E36" i="18" s="1"/>
  <c r="W45" i="18"/>
  <c r="V45" i="18"/>
  <c r="U45" i="18"/>
  <c r="N45" i="18"/>
  <c r="M45" i="18"/>
  <c r="K45" i="18"/>
  <c r="I45" i="18"/>
  <c r="H45" i="18"/>
  <c r="F45" i="18"/>
  <c r="O45" i="18" s="1" a="1"/>
  <c r="O45" i="18" s="1"/>
  <c r="E45" i="18"/>
  <c r="A45" i="18"/>
  <c r="H20" i="18" s="1"/>
  <c r="W44" i="18"/>
  <c r="V44" i="18"/>
  <c r="U44" i="18"/>
  <c r="N44" i="18"/>
  <c r="M44" i="18"/>
  <c r="K44" i="18"/>
  <c r="I44" i="18"/>
  <c r="H44" i="18"/>
  <c r="F44" i="18"/>
  <c r="E44" i="18"/>
  <c r="O44" i="18" s="1" a="1"/>
  <c r="O44" i="18" s="1"/>
  <c r="A44" i="18"/>
  <c r="W43" i="18"/>
  <c r="V43" i="18"/>
  <c r="U43" i="18"/>
  <c r="N43" i="18"/>
  <c r="M43" i="18"/>
  <c r="K43" i="18"/>
  <c r="I43" i="18"/>
  <c r="O43" i="18" s="1" a="1"/>
  <c r="O43" i="18" s="1"/>
  <c r="H43" i="18"/>
  <c r="F43" i="18"/>
  <c r="E43" i="18"/>
  <c r="A43" i="18"/>
  <c r="E32" i="18" s="1"/>
  <c r="W42" i="18"/>
  <c r="V42" i="18"/>
  <c r="U42" i="18"/>
  <c r="N42" i="18"/>
  <c r="M42" i="18"/>
  <c r="K42" i="18"/>
  <c r="I42" i="18"/>
  <c r="H42" i="18"/>
  <c r="F42" i="18"/>
  <c r="E42" i="18"/>
  <c r="A42" i="18"/>
  <c r="H19" i="18" s="1"/>
  <c r="W41" i="18"/>
  <c r="V41" i="18"/>
  <c r="U41" i="18"/>
  <c r="N41" i="18"/>
  <c r="M41" i="18"/>
  <c r="K41" i="18"/>
  <c r="I41" i="18"/>
  <c r="H41" i="18"/>
  <c r="F41" i="18"/>
  <c r="O41" i="18" s="1" a="1"/>
  <c r="O41" i="18" s="1"/>
  <c r="E41" i="18"/>
  <c r="A41" i="18"/>
  <c r="H36" i="18" s="1"/>
  <c r="M38" i="18"/>
  <c r="H38" i="18"/>
  <c r="M37" i="18"/>
  <c r="M36" i="18"/>
  <c r="M34" i="18"/>
  <c r="M33" i="18"/>
  <c r="H33" i="18"/>
  <c r="E33" i="18"/>
  <c r="M32" i="18"/>
  <c r="H32" i="18"/>
  <c r="M30" i="18"/>
  <c r="E30" i="18"/>
  <c r="M29" i="18"/>
  <c r="E29" i="18"/>
  <c r="M27" i="18"/>
  <c r="M25" i="18"/>
  <c r="H25" i="18"/>
  <c r="E25" i="18"/>
  <c r="M24" i="18"/>
  <c r="H24" i="18"/>
  <c r="M23" i="18"/>
  <c r="M21" i="18"/>
  <c r="H21" i="18"/>
  <c r="M20" i="18"/>
  <c r="M19" i="18"/>
  <c r="E19" i="18"/>
  <c r="M17" i="18"/>
  <c r="H17" i="18"/>
  <c r="E17" i="18"/>
  <c r="M16" i="18"/>
  <c r="E16" i="18"/>
  <c r="M15" i="18"/>
  <c r="H15" i="18"/>
  <c r="E15" i="18"/>
  <c r="M13" i="18"/>
  <c r="H13" i="18"/>
  <c r="M12" i="18"/>
  <c r="H12" i="18"/>
  <c r="M11" i="18"/>
  <c r="H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E48" i="17"/>
  <c r="A48" i="17"/>
  <c r="W47" i="17"/>
  <c r="V47" i="17"/>
  <c r="U47" i="17"/>
  <c r="N47" i="17"/>
  <c r="M47" i="17"/>
  <c r="K47" i="17"/>
  <c r="I47" i="17"/>
  <c r="H47" i="17"/>
  <c r="F47" i="17"/>
  <c r="E47" i="17"/>
  <c r="A47" i="17"/>
  <c r="W46" i="17"/>
  <c r="V46" i="17"/>
  <c r="U46" i="17"/>
  <c r="N46" i="17"/>
  <c r="M46" i="17"/>
  <c r="K46" i="17"/>
  <c r="I46" i="17"/>
  <c r="H46" i="17"/>
  <c r="F46" i="17"/>
  <c r="E46" i="17"/>
  <c r="T46" i="17" s="1"/>
  <c r="A46" i="17"/>
  <c r="E36" i="17" s="1"/>
  <c r="W45" i="17"/>
  <c r="V45" i="17"/>
  <c r="U45" i="17"/>
  <c r="N45" i="17"/>
  <c r="M45" i="17"/>
  <c r="K45" i="17"/>
  <c r="I45" i="17"/>
  <c r="H45" i="17"/>
  <c r="F45" i="17"/>
  <c r="E45" i="17"/>
  <c r="O45" i="17" s="1" a="1"/>
  <c r="O45" i="17" s="1"/>
  <c r="A45" i="17"/>
  <c r="H20" i="17" s="1"/>
  <c r="W44" i="17"/>
  <c r="V44" i="17"/>
  <c r="U44" i="17"/>
  <c r="N44" i="17"/>
  <c r="M44" i="17"/>
  <c r="K44" i="17"/>
  <c r="I44" i="17"/>
  <c r="H44" i="17"/>
  <c r="F44" i="17"/>
  <c r="E44" i="17"/>
  <c r="A44" i="17"/>
  <c r="E16" i="17" s="1"/>
  <c r="W43" i="17"/>
  <c r="V43" i="17"/>
  <c r="U43" i="17"/>
  <c r="N43" i="17"/>
  <c r="M43" i="17"/>
  <c r="K43" i="17"/>
  <c r="I43" i="17"/>
  <c r="H43" i="17"/>
  <c r="F43" i="17"/>
  <c r="E43" i="17"/>
  <c r="A43" i="17"/>
  <c r="E27" i="17" s="1"/>
  <c r="W42" i="17"/>
  <c r="V42" i="17"/>
  <c r="U42" i="17"/>
  <c r="N42" i="17"/>
  <c r="M42" i="17"/>
  <c r="O42" i="17" s="1" a="1"/>
  <c r="O42" i="17" s="1"/>
  <c r="K42" i="17"/>
  <c r="I42" i="17"/>
  <c r="H42" i="17"/>
  <c r="F42" i="17"/>
  <c r="E42" i="17"/>
  <c r="A42" i="17"/>
  <c r="H37" i="17" s="1"/>
  <c r="W41" i="17"/>
  <c r="V41" i="17"/>
  <c r="U41" i="17"/>
  <c r="N41" i="17"/>
  <c r="M41" i="17"/>
  <c r="K41" i="17"/>
  <c r="I41" i="17"/>
  <c r="H41" i="17"/>
  <c r="F41" i="17"/>
  <c r="E41" i="17"/>
  <c r="O41" i="17" s="1" a="1"/>
  <c r="O41" i="17" s="1"/>
  <c r="A41" i="17"/>
  <c r="H36" i="17" s="1"/>
  <c r="M38" i="17"/>
  <c r="E38" i="17"/>
  <c r="M37" i="17"/>
  <c r="M36" i="17"/>
  <c r="M34" i="17"/>
  <c r="M33" i="17"/>
  <c r="H33" i="17"/>
  <c r="E33" i="17"/>
  <c r="M32" i="17"/>
  <c r="H32" i="17"/>
  <c r="E32" i="17"/>
  <c r="M30" i="17"/>
  <c r="E30" i="17"/>
  <c r="M29" i="17"/>
  <c r="M27" i="17"/>
  <c r="M25" i="17"/>
  <c r="H25" i="17"/>
  <c r="E25" i="17"/>
  <c r="M24" i="17"/>
  <c r="H24" i="17"/>
  <c r="M23" i="17"/>
  <c r="M21" i="17"/>
  <c r="H21" i="17"/>
  <c r="M20" i="17"/>
  <c r="E20" i="17"/>
  <c r="M19" i="17"/>
  <c r="M17" i="17"/>
  <c r="H17" i="17"/>
  <c r="E17" i="17"/>
  <c r="M16" i="17"/>
  <c r="M15" i="17"/>
  <c r="H15" i="17"/>
  <c r="E15" i="17"/>
  <c r="M13" i="17"/>
  <c r="H13" i="17"/>
  <c r="M12" i="17"/>
  <c r="E12" i="17"/>
  <c r="M11" i="17"/>
  <c r="H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S48" i="16" s="1"/>
  <c r="E48" i="16"/>
  <c r="A48" i="16"/>
  <c r="W47" i="16"/>
  <c r="V47" i="16"/>
  <c r="U47" i="16"/>
  <c r="N47" i="16"/>
  <c r="M47" i="16"/>
  <c r="K47" i="16"/>
  <c r="I47" i="16"/>
  <c r="H47" i="16"/>
  <c r="F47" i="16"/>
  <c r="E47" i="16"/>
  <c r="S47" i="16" s="1"/>
  <c r="A47" i="16"/>
  <c r="H32" i="16" s="1"/>
  <c r="W46" i="16"/>
  <c r="V46" i="16"/>
  <c r="U46" i="16"/>
  <c r="N46" i="16"/>
  <c r="M46" i="16"/>
  <c r="K46" i="16"/>
  <c r="I46" i="16"/>
  <c r="H46" i="16"/>
  <c r="F46" i="16"/>
  <c r="E46" i="16"/>
  <c r="T46" i="16" s="1"/>
  <c r="A46" i="16"/>
  <c r="E36" i="16" s="1"/>
  <c r="W45" i="16"/>
  <c r="V45" i="16"/>
  <c r="U45" i="16"/>
  <c r="N45" i="16"/>
  <c r="M45" i="16"/>
  <c r="K45" i="16"/>
  <c r="I45" i="16"/>
  <c r="H45" i="16"/>
  <c r="F45" i="16"/>
  <c r="E45" i="16"/>
  <c r="O45" i="16" s="1" a="1"/>
  <c r="O45" i="16" s="1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A44" i="16"/>
  <c r="E16" i="16" s="1"/>
  <c r="W43" i="16"/>
  <c r="V43" i="16"/>
  <c r="U43" i="16"/>
  <c r="N43" i="16"/>
  <c r="M43" i="16"/>
  <c r="K43" i="16"/>
  <c r="I43" i="16"/>
  <c r="H43" i="16"/>
  <c r="F43" i="16"/>
  <c r="E43" i="16"/>
  <c r="A43" i="16"/>
  <c r="E32" i="16" s="1"/>
  <c r="W42" i="16"/>
  <c r="V42" i="16"/>
  <c r="U42" i="16"/>
  <c r="N42" i="16"/>
  <c r="M42" i="16"/>
  <c r="O42" i="16" s="1" a="1"/>
  <c r="O42" i="16" s="1"/>
  <c r="K42" i="16"/>
  <c r="I42" i="16"/>
  <c r="H42" i="16"/>
  <c r="F42" i="16"/>
  <c r="E42" i="16"/>
  <c r="A42" i="16"/>
  <c r="H19" i="16" s="1"/>
  <c r="W41" i="16"/>
  <c r="V41" i="16"/>
  <c r="U41" i="16"/>
  <c r="N41" i="16"/>
  <c r="M41" i="16"/>
  <c r="K41" i="16"/>
  <c r="I41" i="16"/>
  <c r="H41" i="16"/>
  <c r="F41" i="16"/>
  <c r="E41" i="16"/>
  <c r="O41" i="16" s="1" a="1"/>
  <c r="O41" i="16" s="1"/>
  <c r="A41" i="16"/>
  <c r="E34" i="16" s="1"/>
  <c r="M38" i="16"/>
  <c r="M37" i="16"/>
  <c r="M36" i="16"/>
  <c r="M34" i="16"/>
  <c r="M33" i="16"/>
  <c r="H33" i="16"/>
  <c r="E33" i="16"/>
  <c r="M32" i="16"/>
  <c r="M30" i="16"/>
  <c r="E30" i="16"/>
  <c r="M29" i="16"/>
  <c r="E29" i="16"/>
  <c r="M27" i="16"/>
  <c r="M25" i="16"/>
  <c r="H25" i="16"/>
  <c r="E25" i="16"/>
  <c r="M24" i="16"/>
  <c r="M23" i="16"/>
  <c r="M21" i="16"/>
  <c r="H21" i="16"/>
  <c r="M20" i="16"/>
  <c r="M19" i="16"/>
  <c r="M17" i="16"/>
  <c r="H17" i="16"/>
  <c r="E17" i="16"/>
  <c r="M16" i="16"/>
  <c r="M15" i="16"/>
  <c r="H15" i="16"/>
  <c r="E15" i="16"/>
  <c r="M13" i="16"/>
  <c r="H13" i="16"/>
  <c r="M12" i="16"/>
  <c r="H12" i="16"/>
  <c r="E12" i="16"/>
  <c r="M11" i="16"/>
  <c r="H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T48" i="15" s="1"/>
  <c r="E48" i="15"/>
  <c r="A48" i="15"/>
  <c r="W47" i="15"/>
  <c r="V47" i="15"/>
  <c r="U47" i="15"/>
  <c r="N47" i="15"/>
  <c r="M47" i="15"/>
  <c r="K47" i="15"/>
  <c r="I47" i="15"/>
  <c r="H47" i="15"/>
  <c r="F47" i="15"/>
  <c r="E47" i="15"/>
  <c r="A47" i="15"/>
  <c r="H32" i="15" s="1"/>
  <c r="W46" i="15"/>
  <c r="V46" i="15"/>
  <c r="U46" i="15"/>
  <c r="N46" i="15"/>
  <c r="M46" i="15"/>
  <c r="K46" i="15"/>
  <c r="I46" i="15"/>
  <c r="H46" i="15"/>
  <c r="F46" i="15"/>
  <c r="E46" i="15"/>
  <c r="A46" i="15"/>
  <c r="E36" i="15" s="1"/>
  <c r="W45" i="15"/>
  <c r="V45" i="15"/>
  <c r="U45" i="15"/>
  <c r="N45" i="15"/>
  <c r="M45" i="15"/>
  <c r="K45" i="15"/>
  <c r="I45" i="15"/>
  <c r="H45" i="15"/>
  <c r="O45" i="15" s="1" a="1"/>
  <c r="O45" i="15" s="1"/>
  <c r="F45" i="15"/>
  <c r="E45" i="15"/>
  <c r="A45" i="15"/>
  <c r="H20" i="15" s="1"/>
  <c r="W44" i="15"/>
  <c r="V44" i="15"/>
  <c r="U44" i="15"/>
  <c r="N44" i="15"/>
  <c r="M44" i="15"/>
  <c r="K44" i="15"/>
  <c r="I44" i="15"/>
  <c r="H44" i="15"/>
  <c r="F44" i="15"/>
  <c r="E44" i="15"/>
  <c r="A44" i="15"/>
  <c r="W43" i="15"/>
  <c r="V43" i="15"/>
  <c r="U43" i="15"/>
  <c r="N43" i="15"/>
  <c r="M43" i="15"/>
  <c r="K43" i="15"/>
  <c r="I43" i="15"/>
  <c r="H43" i="15"/>
  <c r="F43" i="15"/>
  <c r="Q43" i="15" s="1"/>
  <c r="E43" i="15"/>
  <c r="A43" i="15"/>
  <c r="E32" i="15" s="1"/>
  <c r="W42" i="15"/>
  <c r="V42" i="15"/>
  <c r="U42" i="15"/>
  <c r="N42" i="15"/>
  <c r="M42" i="15"/>
  <c r="K42" i="15"/>
  <c r="I42" i="15"/>
  <c r="H42" i="15"/>
  <c r="F42" i="15"/>
  <c r="E42" i="15"/>
  <c r="A42" i="15"/>
  <c r="H37" i="15" s="1"/>
  <c r="W41" i="15"/>
  <c r="V41" i="15"/>
  <c r="U41" i="15"/>
  <c r="N41" i="15"/>
  <c r="M41" i="15"/>
  <c r="K41" i="15"/>
  <c r="I41" i="15"/>
  <c r="H41" i="15"/>
  <c r="F41" i="15"/>
  <c r="E41" i="15"/>
  <c r="O41" i="15" s="1" a="1"/>
  <c r="O41" i="15" s="1"/>
  <c r="A41" i="15"/>
  <c r="E34" i="15" s="1"/>
  <c r="M38" i="15"/>
  <c r="H38" i="15"/>
  <c r="M37" i="15"/>
  <c r="M36" i="15"/>
  <c r="M34" i="15"/>
  <c r="M33" i="15"/>
  <c r="M32" i="15"/>
  <c r="M30" i="15"/>
  <c r="E30" i="15"/>
  <c r="M29" i="15"/>
  <c r="E29" i="15"/>
  <c r="M27" i="15"/>
  <c r="M25" i="15"/>
  <c r="H25" i="15"/>
  <c r="E25" i="15"/>
  <c r="M24" i="15"/>
  <c r="H24" i="15"/>
  <c r="M23" i="15"/>
  <c r="M21" i="15"/>
  <c r="H21" i="15"/>
  <c r="M20" i="15"/>
  <c r="M19" i="15"/>
  <c r="E19" i="15"/>
  <c r="M17" i="15"/>
  <c r="H17" i="15"/>
  <c r="M16" i="15"/>
  <c r="E16" i="15"/>
  <c r="M15" i="15"/>
  <c r="H15" i="15"/>
  <c r="E15" i="15"/>
  <c r="M13" i="15"/>
  <c r="M12" i="15"/>
  <c r="H12" i="15"/>
  <c r="E12" i="15"/>
  <c r="M11" i="15"/>
  <c r="H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A48" i="14"/>
  <c r="E35" i="14" s="1"/>
  <c r="W47" i="14"/>
  <c r="V47" i="14"/>
  <c r="U47" i="14"/>
  <c r="N47" i="14"/>
  <c r="M47" i="14"/>
  <c r="K47" i="14"/>
  <c r="I47" i="14"/>
  <c r="H47" i="14"/>
  <c r="F47" i="14"/>
  <c r="E47" i="14"/>
  <c r="A47" i="14"/>
  <c r="H25" i="14" s="1"/>
  <c r="W46" i="14"/>
  <c r="V46" i="14"/>
  <c r="U46" i="14"/>
  <c r="O46" i="14" a="1"/>
  <c r="O46" i="14" s="1"/>
  <c r="N46" i="14"/>
  <c r="M46" i="14"/>
  <c r="K46" i="14"/>
  <c r="I46" i="14"/>
  <c r="S46" i="14" s="1"/>
  <c r="H46" i="14"/>
  <c r="F46" i="14"/>
  <c r="E46" i="14"/>
  <c r="A46" i="14"/>
  <c r="E36" i="14" s="1"/>
  <c r="W45" i="14"/>
  <c r="V45" i="14"/>
  <c r="U45" i="14"/>
  <c r="N45" i="14"/>
  <c r="M45" i="14"/>
  <c r="K45" i="14"/>
  <c r="I45" i="14"/>
  <c r="H45" i="14"/>
  <c r="F45" i="14"/>
  <c r="E45" i="14"/>
  <c r="A45" i="14"/>
  <c r="H16" i="14" s="1"/>
  <c r="W44" i="14"/>
  <c r="V44" i="14"/>
  <c r="U44" i="14"/>
  <c r="N44" i="14"/>
  <c r="M44" i="14"/>
  <c r="K44" i="14"/>
  <c r="I44" i="14"/>
  <c r="H44" i="14"/>
  <c r="F44" i="14"/>
  <c r="E44" i="14"/>
  <c r="A44" i="14"/>
  <c r="H24" i="14" s="1"/>
  <c r="W43" i="14"/>
  <c r="V43" i="14"/>
  <c r="U43" i="14"/>
  <c r="N43" i="14"/>
  <c r="M43" i="14"/>
  <c r="K43" i="14"/>
  <c r="I43" i="14"/>
  <c r="H43" i="14"/>
  <c r="F43" i="14"/>
  <c r="E43" i="14"/>
  <c r="A43" i="14"/>
  <c r="E20" i="14" s="1"/>
  <c r="W42" i="14"/>
  <c r="V42" i="14"/>
  <c r="U42" i="14"/>
  <c r="N42" i="14"/>
  <c r="M42" i="14"/>
  <c r="K42" i="14"/>
  <c r="I42" i="14"/>
  <c r="H42" i="14"/>
  <c r="F42" i="14"/>
  <c r="E42" i="14"/>
  <c r="O42" i="14" s="1" a="1"/>
  <c r="O42" i="14" s="1"/>
  <c r="A42" i="14"/>
  <c r="E28" i="14" s="1"/>
  <c r="W41" i="14"/>
  <c r="V41" i="14"/>
  <c r="U41" i="14"/>
  <c r="N41" i="14"/>
  <c r="M41" i="14"/>
  <c r="K41" i="14"/>
  <c r="I41" i="14"/>
  <c r="H41" i="14"/>
  <c r="F41" i="14"/>
  <c r="E41" i="14"/>
  <c r="A41" i="14"/>
  <c r="E11" i="14" s="1"/>
  <c r="M38" i="14"/>
  <c r="H38" i="14"/>
  <c r="M37" i="14"/>
  <c r="E37" i="14"/>
  <c r="M36" i="14"/>
  <c r="M35" i="14"/>
  <c r="M34" i="14"/>
  <c r="H34" i="14"/>
  <c r="M33" i="14"/>
  <c r="M32" i="14"/>
  <c r="H32" i="14"/>
  <c r="E32" i="14"/>
  <c r="M31" i="14"/>
  <c r="M30" i="14"/>
  <c r="H30" i="14"/>
  <c r="M29" i="14"/>
  <c r="E29" i="14"/>
  <c r="M28" i="14"/>
  <c r="M27" i="14"/>
  <c r="E27" i="14"/>
  <c r="M26" i="14"/>
  <c r="H26" i="14"/>
  <c r="M25" i="14"/>
  <c r="M24" i="14"/>
  <c r="M23" i="14"/>
  <c r="H23" i="14"/>
  <c r="M22" i="14"/>
  <c r="H22" i="14"/>
  <c r="M21" i="14"/>
  <c r="H21" i="14"/>
  <c r="M20" i="14"/>
  <c r="H20" i="14"/>
  <c r="M19" i="14"/>
  <c r="M18" i="14"/>
  <c r="M17" i="14"/>
  <c r="M16" i="14"/>
  <c r="M15" i="14"/>
  <c r="H15" i="14"/>
  <c r="M14" i="14"/>
  <c r="H14" i="14"/>
  <c r="M13" i="14"/>
  <c r="E13" i="14"/>
  <c r="M12" i="14"/>
  <c r="M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E48" i="13"/>
  <c r="O48" i="13" s="1" a="1"/>
  <c r="O48" i="13" s="1"/>
  <c r="A48" i="13"/>
  <c r="W47" i="13"/>
  <c r="V47" i="13"/>
  <c r="U47" i="13"/>
  <c r="N47" i="13"/>
  <c r="M47" i="13"/>
  <c r="K47" i="13"/>
  <c r="I47" i="13"/>
  <c r="H47" i="13"/>
  <c r="F47" i="13"/>
  <c r="E47" i="13"/>
  <c r="A47" i="13"/>
  <c r="W46" i="13"/>
  <c r="V46" i="13"/>
  <c r="U46" i="13"/>
  <c r="N46" i="13"/>
  <c r="M46" i="13"/>
  <c r="K46" i="13"/>
  <c r="I46" i="13"/>
  <c r="H46" i="13"/>
  <c r="F46" i="13"/>
  <c r="E46" i="13"/>
  <c r="A46" i="13"/>
  <c r="E17" i="13" s="1"/>
  <c r="W45" i="13"/>
  <c r="V45" i="13"/>
  <c r="U45" i="13"/>
  <c r="N45" i="13"/>
  <c r="M45" i="13"/>
  <c r="K45" i="13"/>
  <c r="I45" i="13"/>
  <c r="H45" i="13"/>
  <c r="F45" i="13"/>
  <c r="Q45" i="13" s="1"/>
  <c r="E45" i="13"/>
  <c r="A45" i="13"/>
  <c r="H30" i="13" s="1"/>
  <c r="W44" i="13"/>
  <c r="V44" i="13"/>
  <c r="U44" i="13"/>
  <c r="N44" i="13"/>
  <c r="M44" i="13"/>
  <c r="K44" i="13"/>
  <c r="I44" i="13"/>
  <c r="H44" i="13"/>
  <c r="F44" i="13"/>
  <c r="E44" i="13"/>
  <c r="A44" i="13"/>
  <c r="W43" i="13"/>
  <c r="V43" i="13"/>
  <c r="U43" i="13"/>
  <c r="N43" i="13"/>
  <c r="M43" i="13"/>
  <c r="K43" i="13"/>
  <c r="I43" i="13"/>
  <c r="H43" i="13"/>
  <c r="F43" i="13"/>
  <c r="E43" i="13"/>
  <c r="A43" i="13"/>
  <c r="H35" i="13" s="1"/>
  <c r="W42" i="13"/>
  <c r="V42" i="13"/>
  <c r="U42" i="13"/>
  <c r="N42" i="13"/>
  <c r="M42" i="13"/>
  <c r="K42" i="13"/>
  <c r="I42" i="13"/>
  <c r="H42" i="13"/>
  <c r="F42" i="13"/>
  <c r="E42" i="13"/>
  <c r="A42" i="13"/>
  <c r="E33" i="13" s="1"/>
  <c r="W41" i="13"/>
  <c r="V41" i="13"/>
  <c r="U41" i="13"/>
  <c r="N41" i="13"/>
  <c r="M41" i="13"/>
  <c r="K41" i="13"/>
  <c r="I41" i="13"/>
  <c r="H41" i="13"/>
  <c r="F41" i="13"/>
  <c r="E41" i="13"/>
  <c r="A41" i="13"/>
  <c r="H29" i="13" s="1"/>
  <c r="M38" i="13"/>
  <c r="H38" i="13"/>
  <c r="E38" i="13"/>
  <c r="M37" i="13"/>
  <c r="M36" i="13"/>
  <c r="H36" i="13"/>
  <c r="E36" i="13"/>
  <c r="M35" i="13"/>
  <c r="E35" i="13"/>
  <c r="M34" i="13"/>
  <c r="M33" i="13"/>
  <c r="H33" i="13"/>
  <c r="M32" i="13"/>
  <c r="H32" i="13"/>
  <c r="M31" i="13"/>
  <c r="H31" i="13"/>
  <c r="E31" i="13"/>
  <c r="M30" i="13"/>
  <c r="E30" i="13"/>
  <c r="M29" i="13"/>
  <c r="E29" i="13"/>
  <c r="M28" i="13"/>
  <c r="H28" i="13"/>
  <c r="E28" i="13"/>
  <c r="M27" i="13"/>
  <c r="M26" i="13"/>
  <c r="H26" i="13"/>
  <c r="M25" i="13"/>
  <c r="H25" i="13"/>
  <c r="M24" i="13"/>
  <c r="H24" i="13"/>
  <c r="M23" i="13"/>
  <c r="E23" i="13"/>
  <c r="M22" i="13"/>
  <c r="H22" i="13"/>
  <c r="M21" i="13"/>
  <c r="H21" i="13"/>
  <c r="M20" i="13"/>
  <c r="H20" i="13"/>
  <c r="M19" i="13"/>
  <c r="E19" i="13"/>
  <c r="M18" i="13"/>
  <c r="E18" i="13"/>
  <c r="M17" i="13"/>
  <c r="H17" i="13"/>
  <c r="M16" i="13"/>
  <c r="E16" i="13"/>
  <c r="M15" i="13"/>
  <c r="E15" i="13"/>
  <c r="M14" i="13"/>
  <c r="H14" i="13"/>
  <c r="E14" i="13"/>
  <c r="M13" i="13"/>
  <c r="M12" i="13"/>
  <c r="H12" i="13"/>
  <c r="M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A48" i="12"/>
  <c r="W47" i="12"/>
  <c r="V47" i="12"/>
  <c r="U47" i="12"/>
  <c r="N47" i="12"/>
  <c r="M47" i="12"/>
  <c r="K47" i="12"/>
  <c r="I47" i="12"/>
  <c r="H47" i="12"/>
  <c r="F47" i="12"/>
  <c r="E47" i="12"/>
  <c r="S47" i="12" s="1"/>
  <c r="A47" i="12"/>
  <c r="H25" i="12" s="1"/>
  <c r="W46" i="12"/>
  <c r="V46" i="12"/>
  <c r="U46" i="12"/>
  <c r="N46" i="12"/>
  <c r="M46" i="12"/>
  <c r="K46" i="12"/>
  <c r="I46" i="12"/>
  <c r="H46" i="12"/>
  <c r="F46" i="12"/>
  <c r="S46" i="12" s="1"/>
  <c r="E46" i="12"/>
  <c r="A46" i="12"/>
  <c r="E36" i="12" s="1"/>
  <c r="W45" i="12"/>
  <c r="V45" i="12"/>
  <c r="U45" i="12"/>
  <c r="N45" i="12"/>
  <c r="M45" i="12"/>
  <c r="K45" i="12"/>
  <c r="I45" i="12"/>
  <c r="H45" i="12"/>
  <c r="F45" i="12"/>
  <c r="E45" i="12"/>
  <c r="O45" i="12" s="1" a="1"/>
  <c r="O45" i="12" s="1"/>
  <c r="A45" i="12"/>
  <c r="H30" i="12" s="1"/>
  <c r="W44" i="12"/>
  <c r="V44" i="12"/>
  <c r="U44" i="12"/>
  <c r="N44" i="12"/>
  <c r="M44" i="12"/>
  <c r="K44" i="12"/>
  <c r="I44" i="12"/>
  <c r="H44" i="12"/>
  <c r="F44" i="12"/>
  <c r="E44" i="12"/>
  <c r="A44" i="12"/>
  <c r="W43" i="12"/>
  <c r="V43" i="12"/>
  <c r="U43" i="12"/>
  <c r="N43" i="12"/>
  <c r="M43" i="12"/>
  <c r="K43" i="12"/>
  <c r="I43" i="12"/>
  <c r="T43" i="12" s="1"/>
  <c r="H43" i="12"/>
  <c r="F43" i="12"/>
  <c r="E43" i="12"/>
  <c r="A43" i="12"/>
  <c r="E20" i="12" s="1"/>
  <c r="W42" i="12"/>
  <c r="V42" i="12"/>
  <c r="U42" i="12"/>
  <c r="N42" i="12"/>
  <c r="M42" i="12"/>
  <c r="K42" i="12"/>
  <c r="I42" i="12"/>
  <c r="H42" i="12"/>
  <c r="F42" i="12"/>
  <c r="E42" i="12"/>
  <c r="A42" i="12"/>
  <c r="E28" i="12" s="1"/>
  <c r="W41" i="12"/>
  <c r="V41" i="12"/>
  <c r="U41" i="12"/>
  <c r="N41" i="12"/>
  <c r="M41" i="12"/>
  <c r="K41" i="12"/>
  <c r="I41" i="12"/>
  <c r="H41" i="12"/>
  <c r="F41" i="12"/>
  <c r="O41" i="12" s="1" a="1"/>
  <c r="O41" i="12" s="1"/>
  <c r="E41" i="12"/>
  <c r="A41" i="12"/>
  <c r="E11" i="12" s="1"/>
  <c r="M38" i="12"/>
  <c r="H38" i="12"/>
  <c r="M37" i="12"/>
  <c r="M36" i="12"/>
  <c r="M35" i="12"/>
  <c r="E35" i="12"/>
  <c r="M34" i="12"/>
  <c r="M33" i="12"/>
  <c r="M32" i="12"/>
  <c r="H32" i="12"/>
  <c r="M31" i="12"/>
  <c r="H31" i="12"/>
  <c r="E31" i="12"/>
  <c r="M30" i="12"/>
  <c r="M29" i="12"/>
  <c r="E29" i="12"/>
  <c r="M28" i="12"/>
  <c r="H28" i="12"/>
  <c r="M27" i="12"/>
  <c r="E27" i="12"/>
  <c r="M26" i="12"/>
  <c r="H26" i="12"/>
  <c r="M25" i="12"/>
  <c r="M24" i="12"/>
  <c r="H24" i="12"/>
  <c r="M23" i="12"/>
  <c r="H23" i="12"/>
  <c r="M22" i="12"/>
  <c r="H22" i="12"/>
  <c r="M21" i="12"/>
  <c r="M20" i="12"/>
  <c r="H20" i="12"/>
  <c r="M19" i="12"/>
  <c r="E19" i="12"/>
  <c r="M18" i="12"/>
  <c r="E18" i="12"/>
  <c r="M17" i="12"/>
  <c r="M16" i="12"/>
  <c r="E16" i="12"/>
  <c r="M15" i="12"/>
  <c r="H15" i="12"/>
  <c r="E15" i="12"/>
  <c r="M14" i="12"/>
  <c r="H14" i="12"/>
  <c r="M13" i="12"/>
  <c r="M12" i="12"/>
  <c r="H12" i="12"/>
  <c r="M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E48" i="11"/>
  <c r="A48" i="11"/>
  <c r="W47" i="11"/>
  <c r="V47" i="11"/>
  <c r="U47" i="11"/>
  <c r="N47" i="11"/>
  <c r="M47" i="11"/>
  <c r="K47" i="11"/>
  <c r="I47" i="11"/>
  <c r="H47" i="11"/>
  <c r="F47" i="11"/>
  <c r="E47" i="11"/>
  <c r="S47" i="11" s="1"/>
  <c r="A47" i="11"/>
  <c r="H25" i="11" s="1"/>
  <c r="W46" i="11"/>
  <c r="V46" i="11"/>
  <c r="U46" i="11"/>
  <c r="N46" i="11"/>
  <c r="M46" i="11"/>
  <c r="K46" i="11"/>
  <c r="I46" i="11"/>
  <c r="H46" i="11"/>
  <c r="F46" i="11"/>
  <c r="E46" i="11"/>
  <c r="A46" i="11"/>
  <c r="E36" i="11" s="1"/>
  <c r="W45" i="11"/>
  <c r="V45" i="11"/>
  <c r="U45" i="11"/>
  <c r="N45" i="11"/>
  <c r="M45" i="11"/>
  <c r="K45" i="11"/>
  <c r="I45" i="11"/>
  <c r="H45" i="11"/>
  <c r="F45" i="11"/>
  <c r="E45" i="11"/>
  <c r="O45" i="11" s="1" a="1"/>
  <c r="O45" i="11" s="1"/>
  <c r="A45" i="11"/>
  <c r="E37" i="11" s="1"/>
  <c r="W44" i="11"/>
  <c r="V44" i="11"/>
  <c r="U44" i="11"/>
  <c r="N44" i="11"/>
  <c r="M44" i="11"/>
  <c r="K44" i="11"/>
  <c r="I44" i="11"/>
  <c r="H44" i="11"/>
  <c r="F44" i="11"/>
  <c r="E44" i="11"/>
  <c r="A44" i="11"/>
  <c r="W43" i="11"/>
  <c r="V43" i="11"/>
  <c r="U43" i="11"/>
  <c r="N43" i="11"/>
  <c r="M43" i="11"/>
  <c r="K43" i="11"/>
  <c r="I43" i="11"/>
  <c r="T43" i="11" s="1"/>
  <c r="H43" i="11"/>
  <c r="F43" i="11"/>
  <c r="E43" i="11"/>
  <c r="R43" i="11" s="1"/>
  <c r="A43" i="11"/>
  <c r="E20" i="11" s="1"/>
  <c r="W42" i="11"/>
  <c r="V42" i="11"/>
  <c r="U42" i="11"/>
  <c r="N42" i="11"/>
  <c r="M42" i="11"/>
  <c r="K42" i="11"/>
  <c r="I42" i="11"/>
  <c r="H42" i="11"/>
  <c r="F42" i="11"/>
  <c r="E42" i="11"/>
  <c r="A42" i="11"/>
  <c r="E28" i="11" s="1"/>
  <c r="W41" i="11"/>
  <c r="V41" i="11"/>
  <c r="U41" i="11"/>
  <c r="N41" i="11"/>
  <c r="M41" i="11"/>
  <c r="K41" i="11"/>
  <c r="I41" i="11"/>
  <c r="H41" i="11"/>
  <c r="F41" i="11"/>
  <c r="O41" i="11" s="1" a="1"/>
  <c r="O41" i="11" s="1"/>
  <c r="E41" i="11"/>
  <c r="A41" i="11"/>
  <c r="H29" i="11" s="1"/>
  <c r="M38" i="11"/>
  <c r="H38" i="11"/>
  <c r="M37" i="11"/>
  <c r="M36" i="11"/>
  <c r="M35" i="11"/>
  <c r="E35" i="11"/>
  <c r="M34" i="11"/>
  <c r="M33" i="11"/>
  <c r="M32" i="11"/>
  <c r="H32" i="11"/>
  <c r="E32" i="11"/>
  <c r="M31" i="11"/>
  <c r="H31" i="11"/>
  <c r="E31" i="11"/>
  <c r="M30" i="11"/>
  <c r="M29" i="11"/>
  <c r="E29" i="11"/>
  <c r="M28" i="11"/>
  <c r="H28" i="11"/>
  <c r="M27" i="11"/>
  <c r="E27" i="11"/>
  <c r="M26" i="11"/>
  <c r="H26" i="11"/>
  <c r="M25" i="11"/>
  <c r="M24" i="11"/>
  <c r="H24" i="11"/>
  <c r="M23" i="11"/>
  <c r="H23" i="11"/>
  <c r="E23" i="11"/>
  <c r="M22" i="11"/>
  <c r="H22" i="11"/>
  <c r="M21" i="11"/>
  <c r="H21" i="11"/>
  <c r="M20" i="11"/>
  <c r="H20" i="11"/>
  <c r="M19" i="11"/>
  <c r="E19" i="11"/>
  <c r="M18" i="11"/>
  <c r="E18" i="11"/>
  <c r="M17" i="11"/>
  <c r="M16" i="11"/>
  <c r="E16" i="11"/>
  <c r="M15" i="11"/>
  <c r="H15" i="11"/>
  <c r="E15" i="11"/>
  <c r="M14" i="11"/>
  <c r="H14" i="11"/>
  <c r="M13" i="11"/>
  <c r="M12" i="11"/>
  <c r="H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R48" i="10" s="1"/>
  <c r="E48" i="10"/>
  <c r="A48" i="10"/>
  <c r="W47" i="10"/>
  <c r="V47" i="10"/>
  <c r="U47" i="10"/>
  <c r="N47" i="10"/>
  <c r="M47" i="10"/>
  <c r="K47" i="10"/>
  <c r="I47" i="10"/>
  <c r="H47" i="10"/>
  <c r="F47" i="10"/>
  <c r="E47" i="10"/>
  <c r="A47" i="10"/>
  <c r="W46" i="10"/>
  <c r="V46" i="10"/>
  <c r="U46" i="10"/>
  <c r="N46" i="10"/>
  <c r="M46" i="10"/>
  <c r="K46" i="10"/>
  <c r="I46" i="10"/>
  <c r="H46" i="10"/>
  <c r="F46" i="10"/>
  <c r="E46" i="10"/>
  <c r="T46" i="10" s="1"/>
  <c r="A46" i="10"/>
  <c r="E36" i="10" s="1"/>
  <c r="W45" i="10"/>
  <c r="V45" i="10"/>
  <c r="U45" i="10"/>
  <c r="N45" i="10"/>
  <c r="M45" i="10"/>
  <c r="K45" i="10"/>
  <c r="I45" i="10"/>
  <c r="H45" i="10"/>
  <c r="F45" i="10"/>
  <c r="O45" i="10" s="1" a="1"/>
  <c r="O45" i="10" s="1"/>
  <c r="E45" i="10"/>
  <c r="A45" i="10"/>
  <c r="H20" i="10" s="1"/>
  <c r="W44" i="10"/>
  <c r="V44" i="10"/>
  <c r="U44" i="10"/>
  <c r="N44" i="10"/>
  <c r="M44" i="10"/>
  <c r="K44" i="10"/>
  <c r="I44" i="10"/>
  <c r="H44" i="10"/>
  <c r="F44" i="10"/>
  <c r="E44" i="10"/>
  <c r="A44" i="10"/>
  <c r="E16" i="10" s="1"/>
  <c r="W43" i="10"/>
  <c r="V43" i="10"/>
  <c r="U43" i="10"/>
  <c r="N43" i="10"/>
  <c r="M43" i="10"/>
  <c r="K43" i="10"/>
  <c r="I43" i="10"/>
  <c r="H43" i="10"/>
  <c r="F43" i="10"/>
  <c r="R43" i="10" s="1"/>
  <c r="E43" i="10"/>
  <c r="A43" i="10"/>
  <c r="W42" i="10"/>
  <c r="V42" i="10"/>
  <c r="U42" i="10"/>
  <c r="N42" i="10"/>
  <c r="M42" i="10"/>
  <c r="K42" i="10"/>
  <c r="I42" i="10"/>
  <c r="H42" i="10"/>
  <c r="F42" i="10"/>
  <c r="E42" i="10"/>
  <c r="T42" i="10" s="1"/>
  <c r="A42" i="10"/>
  <c r="H19" i="10" s="1"/>
  <c r="W41" i="10"/>
  <c r="V41" i="10"/>
  <c r="U41" i="10"/>
  <c r="N41" i="10"/>
  <c r="M41" i="10"/>
  <c r="K41" i="10"/>
  <c r="I41" i="10"/>
  <c r="H41" i="10"/>
  <c r="F41" i="10"/>
  <c r="E41" i="10"/>
  <c r="O41" i="10" s="1" a="1"/>
  <c r="O41" i="10" s="1"/>
  <c r="A41" i="10"/>
  <c r="H36" i="10" s="1"/>
  <c r="M38" i="10"/>
  <c r="H38" i="10"/>
  <c r="E38" i="10"/>
  <c r="M37" i="10"/>
  <c r="M36" i="10"/>
  <c r="M34" i="10"/>
  <c r="M33" i="10"/>
  <c r="H33" i="10"/>
  <c r="E33" i="10"/>
  <c r="M32" i="10"/>
  <c r="H32" i="10"/>
  <c r="E32" i="10"/>
  <c r="M30" i="10"/>
  <c r="E30" i="10"/>
  <c r="M29" i="10"/>
  <c r="E29" i="10"/>
  <c r="M27" i="10"/>
  <c r="E27" i="10"/>
  <c r="M25" i="10"/>
  <c r="H25" i="10"/>
  <c r="M24" i="10"/>
  <c r="H24" i="10"/>
  <c r="M23" i="10"/>
  <c r="H23" i="10"/>
  <c r="M21" i="10"/>
  <c r="H21" i="10"/>
  <c r="M20" i="10"/>
  <c r="E20" i="10"/>
  <c r="M19" i="10"/>
  <c r="E19" i="10"/>
  <c r="M17" i="10"/>
  <c r="H17" i="10"/>
  <c r="E17" i="10"/>
  <c r="M16" i="10"/>
  <c r="M15" i="10"/>
  <c r="H15" i="10"/>
  <c r="E15" i="10"/>
  <c r="M13" i="10"/>
  <c r="H13" i="10"/>
  <c r="M12" i="10"/>
  <c r="E12" i="10"/>
  <c r="M11" i="10"/>
  <c r="H11" i="10"/>
  <c r="N8" i="10"/>
  <c r="K8" i="10"/>
  <c r="E8" i="10"/>
  <c r="A8" i="10"/>
  <c r="W48" i="9"/>
  <c r="V48" i="9"/>
  <c r="U48" i="9"/>
  <c r="N48" i="9"/>
  <c r="M48" i="9"/>
  <c r="K48" i="9"/>
  <c r="I48" i="9"/>
  <c r="H48" i="9"/>
  <c r="F48" i="9"/>
  <c r="E48" i="9"/>
  <c r="A48" i="9"/>
  <c r="W47" i="9"/>
  <c r="V47" i="9"/>
  <c r="U47" i="9"/>
  <c r="N47" i="9"/>
  <c r="M47" i="9"/>
  <c r="K47" i="9"/>
  <c r="I47" i="9"/>
  <c r="H47" i="9"/>
  <c r="F47" i="9"/>
  <c r="E47" i="9"/>
  <c r="A47" i="9"/>
  <c r="H32" i="9" s="1"/>
  <c r="W46" i="9"/>
  <c r="V46" i="9"/>
  <c r="U46" i="9"/>
  <c r="N46" i="9"/>
  <c r="M46" i="9"/>
  <c r="K46" i="9"/>
  <c r="I46" i="9"/>
  <c r="H46" i="9"/>
  <c r="F46" i="9"/>
  <c r="E46" i="9"/>
  <c r="A46" i="9"/>
  <c r="W45" i="9"/>
  <c r="V45" i="9"/>
  <c r="U45" i="9"/>
  <c r="N45" i="9"/>
  <c r="M45" i="9"/>
  <c r="K45" i="9"/>
  <c r="I45" i="9"/>
  <c r="H45" i="9"/>
  <c r="F45" i="9"/>
  <c r="E45" i="9"/>
  <c r="T45" i="9" s="1"/>
  <c r="A45" i="9"/>
  <c r="H20" i="9" s="1"/>
  <c r="W44" i="9"/>
  <c r="V44" i="9"/>
  <c r="U44" i="9"/>
  <c r="N44" i="9"/>
  <c r="M44" i="9"/>
  <c r="K44" i="9"/>
  <c r="I44" i="9"/>
  <c r="H44" i="9"/>
  <c r="F44" i="9"/>
  <c r="E44" i="9"/>
  <c r="A44" i="9"/>
  <c r="E19" i="9" s="1"/>
  <c r="W43" i="9"/>
  <c r="V43" i="9"/>
  <c r="U43" i="9"/>
  <c r="N43" i="9"/>
  <c r="M43" i="9"/>
  <c r="K43" i="9"/>
  <c r="I43" i="9"/>
  <c r="H43" i="9"/>
  <c r="F43" i="9"/>
  <c r="E43" i="9"/>
  <c r="A43" i="9"/>
  <c r="E32" i="9" s="1"/>
  <c r="W42" i="9"/>
  <c r="V42" i="9"/>
  <c r="U42" i="9"/>
  <c r="N42" i="9"/>
  <c r="M42" i="9"/>
  <c r="K42" i="9"/>
  <c r="I42" i="9"/>
  <c r="H42" i="9"/>
  <c r="F42" i="9"/>
  <c r="E42" i="9"/>
  <c r="A42" i="9"/>
  <c r="H37" i="9" s="1"/>
  <c r="W41" i="9"/>
  <c r="V41" i="9"/>
  <c r="U41" i="9"/>
  <c r="N41" i="9"/>
  <c r="M41" i="9"/>
  <c r="K41" i="9"/>
  <c r="I41" i="9"/>
  <c r="H41" i="9"/>
  <c r="F41" i="9"/>
  <c r="E41" i="9"/>
  <c r="O41" i="9" s="1" a="1"/>
  <c r="O41" i="9" s="1"/>
  <c r="A41" i="9"/>
  <c r="E34" i="9" s="1"/>
  <c r="M38" i="9"/>
  <c r="H38" i="9"/>
  <c r="M37" i="9"/>
  <c r="M36" i="9"/>
  <c r="H36" i="9"/>
  <c r="E36" i="9"/>
  <c r="M34" i="9"/>
  <c r="M33" i="9"/>
  <c r="H33" i="9"/>
  <c r="E33" i="9"/>
  <c r="M32" i="9"/>
  <c r="M30" i="9"/>
  <c r="H30" i="9"/>
  <c r="M29" i="9"/>
  <c r="E29" i="9"/>
  <c r="M27" i="9"/>
  <c r="H27" i="9"/>
  <c r="M25" i="9"/>
  <c r="E25" i="9"/>
  <c r="M24" i="9"/>
  <c r="H24" i="9"/>
  <c r="E24" i="9"/>
  <c r="M23" i="9"/>
  <c r="E23" i="9"/>
  <c r="M21" i="9"/>
  <c r="M20" i="9"/>
  <c r="M19" i="9"/>
  <c r="H19" i="9"/>
  <c r="M17" i="9"/>
  <c r="E17" i="9"/>
  <c r="M16" i="9"/>
  <c r="E16" i="9"/>
  <c r="M15" i="9"/>
  <c r="E15" i="9"/>
  <c r="M13" i="9"/>
  <c r="H13" i="9"/>
  <c r="M12" i="9"/>
  <c r="H12" i="9"/>
  <c r="E12" i="9"/>
  <c r="M11" i="9"/>
  <c r="H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A48" i="8"/>
  <c r="W47" i="8"/>
  <c r="V47" i="8"/>
  <c r="U47" i="8"/>
  <c r="N47" i="8"/>
  <c r="M47" i="8"/>
  <c r="K47" i="8"/>
  <c r="I47" i="8"/>
  <c r="H47" i="8"/>
  <c r="F47" i="8"/>
  <c r="E47" i="8"/>
  <c r="S47" i="8" s="1"/>
  <c r="A47" i="8"/>
  <c r="W46" i="8"/>
  <c r="V46" i="8"/>
  <c r="U46" i="8"/>
  <c r="N46" i="8"/>
  <c r="M46" i="8"/>
  <c r="K46" i="8"/>
  <c r="I46" i="8"/>
  <c r="H46" i="8"/>
  <c r="F46" i="8"/>
  <c r="S46" i="8" s="1"/>
  <c r="E46" i="8"/>
  <c r="T46" i="8" s="1"/>
  <c r="A46" i="8"/>
  <c r="E36" i="8" s="1"/>
  <c r="W45" i="8"/>
  <c r="V45" i="8"/>
  <c r="U45" i="8"/>
  <c r="N45" i="8"/>
  <c r="M45" i="8"/>
  <c r="K45" i="8"/>
  <c r="I45" i="8"/>
  <c r="H45" i="8"/>
  <c r="F45" i="8"/>
  <c r="E45" i="8"/>
  <c r="O45" i="8" s="1" a="1"/>
  <c r="O45" i="8" s="1"/>
  <c r="A45" i="8"/>
  <c r="H20" i="8" s="1"/>
  <c r="W44" i="8"/>
  <c r="V44" i="8"/>
  <c r="U44" i="8"/>
  <c r="N44" i="8"/>
  <c r="M44" i="8"/>
  <c r="K44" i="8"/>
  <c r="I44" i="8"/>
  <c r="H44" i="8"/>
  <c r="F44" i="8"/>
  <c r="E44" i="8"/>
  <c r="A44" i="8"/>
  <c r="E16" i="8" s="1"/>
  <c r="W43" i="8"/>
  <c r="V43" i="8"/>
  <c r="U43" i="8"/>
  <c r="N43" i="8"/>
  <c r="M43" i="8"/>
  <c r="K43" i="8"/>
  <c r="I43" i="8"/>
  <c r="S43" i="8" s="1"/>
  <c r="H43" i="8"/>
  <c r="F43" i="8"/>
  <c r="Q43" i="8" s="1"/>
  <c r="E43" i="8"/>
  <c r="A43" i="8"/>
  <c r="E27" i="8" s="1"/>
  <c r="W42" i="8"/>
  <c r="V42" i="8"/>
  <c r="U42" i="8"/>
  <c r="N42" i="8"/>
  <c r="M42" i="8"/>
  <c r="K42" i="8"/>
  <c r="I42" i="8"/>
  <c r="H42" i="8"/>
  <c r="F42" i="8"/>
  <c r="E42" i="8"/>
  <c r="T42" i="8" s="1"/>
  <c r="A42" i="8"/>
  <c r="H19" i="8" s="1"/>
  <c r="W41" i="8"/>
  <c r="V41" i="8"/>
  <c r="U41" i="8"/>
  <c r="N41" i="8"/>
  <c r="M41" i="8"/>
  <c r="K41" i="8"/>
  <c r="I41" i="8"/>
  <c r="H41" i="8"/>
  <c r="F41" i="8"/>
  <c r="E41" i="8"/>
  <c r="O41" i="8" s="1" a="1"/>
  <c r="O41" i="8" s="1"/>
  <c r="A41" i="8"/>
  <c r="E11" i="8" s="1"/>
  <c r="M38" i="8"/>
  <c r="H38" i="8"/>
  <c r="E38" i="8"/>
  <c r="M37" i="8"/>
  <c r="M36" i="8"/>
  <c r="M34" i="8"/>
  <c r="M33" i="8"/>
  <c r="H33" i="8"/>
  <c r="E33" i="8"/>
  <c r="M32" i="8"/>
  <c r="H32" i="8"/>
  <c r="E32" i="8"/>
  <c r="M30" i="8"/>
  <c r="E30" i="8"/>
  <c r="M29" i="8"/>
  <c r="E29" i="8"/>
  <c r="M27" i="8"/>
  <c r="M25" i="8"/>
  <c r="H25" i="8"/>
  <c r="E25" i="8"/>
  <c r="M24" i="8"/>
  <c r="H24" i="8"/>
  <c r="M23" i="8"/>
  <c r="M21" i="8"/>
  <c r="H21" i="8"/>
  <c r="M20" i="8"/>
  <c r="E20" i="8"/>
  <c r="M19" i="8"/>
  <c r="E19" i="8"/>
  <c r="M17" i="8"/>
  <c r="H17" i="8"/>
  <c r="E17" i="8"/>
  <c r="M16" i="8"/>
  <c r="M15" i="8"/>
  <c r="H15" i="8"/>
  <c r="E15" i="8"/>
  <c r="M13" i="8"/>
  <c r="H13" i="8"/>
  <c r="M12" i="8"/>
  <c r="E12" i="8"/>
  <c r="M11" i="8"/>
  <c r="H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E48" i="7"/>
  <c r="A48" i="7"/>
  <c r="W47" i="7"/>
  <c r="V47" i="7"/>
  <c r="U47" i="7"/>
  <c r="N47" i="7"/>
  <c r="M47" i="7"/>
  <c r="K47" i="7"/>
  <c r="I47" i="7"/>
  <c r="H47" i="7"/>
  <c r="F47" i="7"/>
  <c r="Q47" i="7" s="1"/>
  <c r="E47" i="7"/>
  <c r="A47" i="7"/>
  <c r="H25" i="7" s="1"/>
  <c r="W46" i="7"/>
  <c r="V46" i="7"/>
  <c r="U46" i="7"/>
  <c r="N46" i="7"/>
  <c r="M46" i="7"/>
  <c r="K46" i="7"/>
  <c r="I46" i="7"/>
  <c r="H46" i="7"/>
  <c r="F46" i="7"/>
  <c r="E46" i="7"/>
  <c r="A46" i="7"/>
  <c r="E36" i="7" s="1"/>
  <c r="W45" i="7"/>
  <c r="V45" i="7"/>
  <c r="U45" i="7"/>
  <c r="N45" i="7"/>
  <c r="M45" i="7"/>
  <c r="K45" i="7"/>
  <c r="I45" i="7"/>
  <c r="H45" i="7"/>
  <c r="F45" i="7"/>
  <c r="E45" i="7"/>
  <c r="T45" i="7" s="1"/>
  <c r="A45" i="7"/>
  <c r="H30" i="7" s="1"/>
  <c r="W44" i="7"/>
  <c r="V44" i="7"/>
  <c r="U44" i="7"/>
  <c r="N44" i="7"/>
  <c r="M44" i="7"/>
  <c r="K44" i="7"/>
  <c r="I44" i="7"/>
  <c r="H44" i="7"/>
  <c r="F44" i="7"/>
  <c r="E44" i="7"/>
  <c r="A44" i="7"/>
  <c r="E16" i="7" s="1"/>
  <c r="W43" i="7"/>
  <c r="V43" i="7"/>
  <c r="U43" i="7"/>
  <c r="S43" i="7"/>
  <c r="N43" i="7"/>
  <c r="M43" i="7"/>
  <c r="K43" i="7"/>
  <c r="I43" i="7"/>
  <c r="H43" i="7"/>
  <c r="F43" i="7"/>
  <c r="E43" i="7"/>
  <c r="R43" i="7" s="1"/>
  <c r="A43" i="7"/>
  <c r="E20" i="7" s="1"/>
  <c r="W42" i="7"/>
  <c r="V42" i="7"/>
  <c r="U42" i="7"/>
  <c r="N42" i="7"/>
  <c r="M42" i="7"/>
  <c r="K42" i="7"/>
  <c r="I42" i="7"/>
  <c r="H42" i="7"/>
  <c r="F42" i="7"/>
  <c r="E42" i="7"/>
  <c r="A42" i="7"/>
  <c r="E28" i="7" s="1"/>
  <c r="W41" i="7"/>
  <c r="V41" i="7"/>
  <c r="U41" i="7"/>
  <c r="O41" i="7" a="1"/>
  <c r="O41" i="7" s="1"/>
  <c r="N41" i="7"/>
  <c r="M41" i="7"/>
  <c r="K41" i="7"/>
  <c r="I41" i="7"/>
  <c r="H41" i="7"/>
  <c r="F41" i="7"/>
  <c r="E41" i="7"/>
  <c r="T41" i="7" s="1"/>
  <c r="A41" i="7"/>
  <c r="E11" i="7" s="1"/>
  <c r="M38" i="7"/>
  <c r="H38" i="7"/>
  <c r="M37" i="7"/>
  <c r="M36" i="7"/>
  <c r="M35" i="7"/>
  <c r="E35" i="7"/>
  <c r="M34" i="7"/>
  <c r="M33" i="7"/>
  <c r="M32" i="7"/>
  <c r="H32" i="7"/>
  <c r="M31" i="7"/>
  <c r="H31" i="7"/>
  <c r="E31" i="7"/>
  <c r="M30" i="7"/>
  <c r="M29" i="7"/>
  <c r="E29" i="7"/>
  <c r="M28" i="7"/>
  <c r="H28" i="7"/>
  <c r="M27" i="7"/>
  <c r="E27" i="7"/>
  <c r="M26" i="7"/>
  <c r="H26" i="7"/>
  <c r="M25" i="7"/>
  <c r="M24" i="7"/>
  <c r="H24" i="7"/>
  <c r="M23" i="7"/>
  <c r="H23" i="7"/>
  <c r="M22" i="7"/>
  <c r="H22" i="7"/>
  <c r="M21" i="7"/>
  <c r="M20" i="7"/>
  <c r="H20" i="7"/>
  <c r="M19" i="7"/>
  <c r="E19" i="7"/>
  <c r="M18" i="7"/>
  <c r="E18" i="7"/>
  <c r="M17" i="7"/>
  <c r="M16" i="7"/>
  <c r="H16" i="7"/>
  <c r="M15" i="7"/>
  <c r="H15" i="7"/>
  <c r="E15" i="7"/>
  <c r="M14" i="7"/>
  <c r="H14" i="7"/>
  <c r="M13" i="7"/>
  <c r="M12" i="7"/>
  <c r="H12" i="7"/>
  <c r="M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E48" i="6"/>
  <c r="O48" i="6" s="1" a="1"/>
  <c r="O48" i="6" s="1"/>
  <c r="A48" i="6"/>
  <c r="W47" i="6"/>
  <c r="V47" i="6"/>
  <c r="U47" i="6"/>
  <c r="N47" i="6"/>
  <c r="M47" i="6"/>
  <c r="K47" i="6"/>
  <c r="I47" i="6"/>
  <c r="H47" i="6"/>
  <c r="F47" i="6"/>
  <c r="E47" i="6"/>
  <c r="A47" i="6"/>
  <c r="W46" i="6"/>
  <c r="V46" i="6"/>
  <c r="U46" i="6"/>
  <c r="O46" i="6" a="1"/>
  <c r="O46" i="6" s="1"/>
  <c r="N46" i="6"/>
  <c r="M46" i="6"/>
  <c r="K46" i="6"/>
  <c r="I46" i="6"/>
  <c r="H46" i="6"/>
  <c r="F46" i="6"/>
  <c r="E46" i="6"/>
  <c r="T46" i="6" s="1"/>
  <c r="A46" i="6"/>
  <c r="E36" i="6" s="1"/>
  <c r="W45" i="6"/>
  <c r="V45" i="6"/>
  <c r="U45" i="6"/>
  <c r="N45" i="6"/>
  <c r="M45" i="6"/>
  <c r="K45" i="6"/>
  <c r="I45" i="6"/>
  <c r="H45" i="6"/>
  <c r="F45" i="6"/>
  <c r="E45" i="6"/>
  <c r="A45" i="6"/>
  <c r="W44" i="6"/>
  <c r="V44" i="6"/>
  <c r="U44" i="6"/>
  <c r="N44" i="6"/>
  <c r="S44" i="6" s="1"/>
  <c r="M44" i="6"/>
  <c r="K44" i="6"/>
  <c r="I44" i="6"/>
  <c r="H44" i="6"/>
  <c r="F44" i="6"/>
  <c r="E44" i="6"/>
  <c r="A44" i="6"/>
  <c r="W43" i="6"/>
  <c r="V43" i="6"/>
  <c r="U43" i="6"/>
  <c r="N43" i="6"/>
  <c r="M43" i="6"/>
  <c r="K43" i="6"/>
  <c r="I43" i="6"/>
  <c r="H43" i="6"/>
  <c r="F43" i="6"/>
  <c r="E43" i="6"/>
  <c r="A43" i="6"/>
  <c r="W42" i="6"/>
  <c r="V42" i="6"/>
  <c r="U42" i="6"/>
  <c r="N42" i="6"/>
  <c r="M42" i="6"/>
  <c r="K42" i="6"/>
  <c r="I42" i="6"/>
  <c r="H42" i="6"/>
  <c r="F42" i="6"/>
  <c r="E42" i="6"/>
  <c r="O42" i="6" s="1" a="1"/>
  <c r="O42" i="6" s="1"/>
  <c r="A42" i="6"/>
  <c r="H19" i="6" s="1"/>
  <c r="W41" i="6"/>
  <c r="V41" i="6"/>
  <c r="U41" i="6"/>
  <c r="N41" i="6"/>
  <c r="M41" i="6"/>
  <c r="K41" i="6"/>
  <c r="I41" i="6"/>
  <c r="H41" i="6"/>
  <c r="F41" i="6"/>
  <c r="E41" i="6"/>
  <c r="O41" i="6" s="1" a="1"/>
  <c r="O41" i="6" s="1"/>
  <c r="A41" i="6"/>
  <c r="M38" i="6"/>
  <c r="H38" i="6"/>
  <c r="E38" i="6"/>
  <c r="M37" i="6"/>
  <c r="E37" i="6"/>
  <c r="M36" i="6"/>
  <c r="H36" i="6"/>
  <c r="M34" i="6"/>
  <c r="H34" i="6"/>
  <c r="E34" i="6"/>
  <c r="M33" i="6"/>
  <c r="M32" i="6"/>
  <c r="H32" i="6"/>
  <c r="E32" i="6"/>
  <c r="M30" i="6"/>
  <c r="H30" i="6"/>
  <c r="E30" i="6"/>
  <c r="M29" i="6"/>
  <c r="H29" i="6"/>
  <c r="E29" i="6"/>
  <c r="M27" i="6"/>
  <c r="E27" i="6"/>
  <c r="M25" i="6"/>
  <c r="H25" i="6"/>
  <c r="E25" i="6"/>
  <c r="M24" i="6"/>
  <c r="H24" i="6"/>
  <c r="M23" i="6"/>
  <c r="H23" i="6"/>
  <c r="E23" i="6"/>
  <c r="M21" i="6"/>
  <c r="H21" i="6"/>
  <c r="E21" i="6"/>
  <c r="M20" i="6"/>
  <c r="H20" i="6"/>
  <c r="E20" i="6"/>
  <c r="M19" i="6"/>
  <c r="E19" i="6"/>
  <c r="M17" i="6"/>
  <c r="H17" i="6"/>
  <c r="M16" i="6"/>
  <c r="H16" i="6"/>
  <c r="E16" i="6"/>
  <c r="M15" i="6"/>
  <c r="H15" i="6"/>
  <c r="E15" i="6"/>
  <c r="M13" i="6"/>
  <c r="E13" i="6"/>
  <c r="M12" i="6"/>
  <c r="H12" i="6"/>
  <c r="E12" i="6"/>
  <c r="M11" i="6"/>
  <c r="H11" i="6"/>
  <c r="E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E48" i="5"/>
  <c r="A48" i="5"/>
  <c r="W47" i="5"/>
  <c r="V47" i="5"/>
  <c r="U47" i="5"/>
  <c r="N47" i="5"/>
  <c r="M47" i="5"/>
  <c r="K47" i="5"/>
  <c r="I47" i="5"/>
  <c r="H47" i="5"/>
  <c r="F47" i="5"/>
  <c r="E47" i="5"/>
  <c r="A47" i="5"/>
  <c r="W46" i="5"/>
  <c r="V46" i="5"/>
  <c r="U46" i="5"/>
  <c r="N46" i="5"/>
  <c r="M46" i="5"/>
  <c r="K46" i="5"/>
  <c r="I46" i="5"/>
  <c r="H46" i="5"/>
  <c r="F46" i="5"/>
  <c r="E46" i="5"/>
  <c r="A46" i="5"/>
  <c r="E36" i="5" s="1"/>
  <c r="W45" i="5"/>
  <c r="V45" i="5"/>
  <c r="U45" i="5"/>
  <c r="N45" i="5"/>
  <c r="M45" i="5"/>
  <c r="K45" i="5"/>
  <c r="I45" i="5"/>
  <c r="H45" i="5"/>
  <c r="F45" i="5"/>
  <c r="E45" i="5"/>
  <c r="A45" i="5"/>
  <c r="E37" i="5" s="1"/>
  <c r="W44" i="5"/>
  <c r="V44" i="5"/>
  <c r="U44" i="5"/>
  <c r="N44" i="5"/>
  <c r="M44" i="5"/>
  <c r="K44" i="5"/>
  <c r="I44" i="5"/>
  <c r="H44" i="5"/>
  <c r="F44" i="5"/>
  <c r="E44" i="5"/>
  <c r="A44" i="5"/>
  <c r="W43" i="5"/>
  <c r="V43" i="5"/>
  <c r="U43" i="5"/>
  <c r="N43" i="5"/>
  <c r="M43" i="5"/>
  <c r="K43" i="5"/>
  <c r="I43" i="5"/>
  <c r="S43" i="5" s="1"/>
  <c r="H43" i="5"/>
  <c r="F43" i="5"/>
  <c r="E43" i="5"/>
  <c r="A43" i="5"/>
  <c r="H35" i="5" s="1"/>
  <c r="W42" i="5"/>
  <c r="V42" i="5"/>
  <c r="U42" i="5"/>
  <c r="N42" i="5"/>
  <c r="M42" i="5"/>
  <c r="K42" i="5"/>
  <c r="I42" i="5"/>
  <c r="H42" i="5"/>
  <c r="R42" i="5" s="1"/>
  <c r="F42" i="5"/>
  <c r="E42" i="5"/>
  <c r="A42" i="5"/>
  <c r="E28" i="5" s="1"/>
  <c r="W41" i="5"/>
  <c r="V41" i="5"/>
  <c r="U41" i="5"/>
  <c r="N41" i="5"/>
  <c r="M41" i="5"/>
  <c r="K41" i="5"/>
  <c r="I41" i="5"/>
  <c r="H41" i="5"/>
  <c r="F41" i="5"/>
  <c r="E41" i="5"/>
  <c r="O41" i="5" s="1" a="1"/>
  <c r="O41" i="5" s="1"/>
  <c r="A41" i="5"/>
  <c r="H18" i="5" s="1"/>
  <c r="M38" i="5"/>
  <c r="H38" i="5"/>
  <c r="E38" i="5"/>
  <c r="M37" i="5"/>
  <c r="M36" i="5"/>
  <c r="M35" i="5"/>
  <c r="E35" i="5"/>
  <c r="M34" i="5"/>
  <c r="M33" i="5"/>
  <c r="M32" i="5"/>
  <c r="H32" i="5"/>
  <c r="M31" i="5"/>
  <c r="H31" i="5"/>
  <c r="E31" i="5"/>
  <c r="M30" i="5"/>
  <c r="E30" i="5"/>
  <c r="M29" i="5"/>
  <c r="E29" i="5"/>
  <c r="M28" i="5"/>
  <c r="H28" i="5"/>
  <c r="M27" i="5"/>
  <c r="M26" i="5"/>
  <c r="H26" i="5"/>
  <c r="M25" i="5"/>
  <c r="H25" i="5"/>
  <c r="M24" i="5"/>
  <c r="H24" i="5"/>
  <c r="M23" i="5"/>
  <c r="E23" i="5"/>
  <c r="M22" i="5"/>
  <c r="H22" i="5"/>
  <c r="M21" i="5"/>
  <c r="H21" i="5"/>
  <c r="M20" i="5"/>
  <c r="H20" i="5"/>
  <c r="M19" i="5"/>
  <c r="E19" i="5"/>
  <c r="M18" i="5"/>
  <c r="E18" i="5"/>
  <c r="M17" i="5"/>
  <c r="H17" i="5"/>
  <c r="M16" i="5"/>
  <c r="E16" i="5"/>
  <c r="M15" i="5"/>
  <c r="E15" i="5"/>
  <c r="M14" i="5"/>
  <c r="H14" i="5"/>
  <c r="E14" i="5"/>
  <c r="M13" i="5"/>
  <c r="M12" i="5"/>
  <c r="H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O42" i="5" l="1" a="1"/>
  <c r="O42" i="5" s="1"/>
  <c r="Q46" i="5"/>
  <c r="E32" i="5"/>
  <c r="O44" i="5" a="1"/>
  <c r="O44" i="5" s="1"/>
  <c r="Q44" i="5"/>
  <c r="T46" i="5"/>
  <c r="E12" i="5"/>
  <c r="H15" i="5"/>
  <c r="Q42" i="5"/>
  <c r="Q45" i="5"/>
  <c r="O45" i="5" a="1"/>
  <c r="O45" i="5" s="1"/>
  <c r="O46" i="5" a="1"/>
  <c r="O46" i="5" s="1"/>
  <c r="R47" i="5"/>
  <c r="E20" i="5"/>
  <c r="H23" i="5"/>
  <c r="E27" i="5"/>
  <c r="T42" i="5"/>
  <c r="O43" i="5" a="1"/>
  <c r="O43" i="5" s="1"/>
  <c r="T41" i="5"/>
  <c r="R43" i="5"/>
  <c r="T47" i="5"/>
  <c r="O48" i="5" a="1"/>
  <c r="O48" i="5" s="1"/>
  <c r="O44" i="6" a="1"/>
  <c r="O44" i="6" s="1"/>
  <c r="Q43" i="7"/>
  <c r="O47" i="7" a="1"/>
  <c r="O47" i="7" s="1"/>
  <c r="O48" i="7" a="1"/>
  <c r="O48" i="7" s="1"/>
  <c r="O46" i="8" a="1"/>
  <c r="O46" i="8" s="1"/>
  <c r="O47" i="9" a="1"/>
  <c r="O47" i="9" s="1"/>
  <c r="T48" i="9"/>
  <c r="T45" i="10"/>
  <c r="R47" i="10"/>
  <c r="S44" i="11"/>
  <c r="E23" i="12"/>
  <c r="Q44" i="12"/>
  <c r="O41" i="13" a="1"/>
  <c r="O41" i="13" s="1"/>
  <c r="H18" i="14"/>
  <c r="T41" i="14"/>
  <c r="R43" i="14"/>
  <c r="T46" i="14"/>
  <c r="R48" i="14"/>
  <c r="H36" i="15"/>
  <c r="O42" i="15" a="1"/>
  <c r="O42" i="15" s="1"/>
  <c r="T46" i="15"/>
  <c r="H36" i="16"/>
  <c r="T43" i="16"/>
  <c r="O44" i="16" a="1"/>
  <c r="O44" i="16" s="1"/>
  <c r="S43" i="17"/>
  <c r="R44" i="18"/>
  <c r="E33" i="19"/>
  <c r="R43" i="19"/>
  <c r="O47" i="19" a="1"/>
  <c r="O47" i="19" s="1"/>
  <c r="E12" i="20"/>
  <c r="H21" i="20"/>
  <c r="O41" i="20" a="1"/>
  <c r="O41" i="20" s="1"/>
  <c r="O48" i="20" a="1"/>
  <c r="O48" i="20" s="1"/>
  <c r="X48" i="20" s="1"/>
  <c r="E12" i="21"/>
  <c r="H21" i="21"/>
  <c r="Q41" i="21"/>
  <c r="R48" i="21"/>
  <c r="H23" i="22"/>
  <c r="E33" i="22"/>
  <c r="T45" i="22"/>
  <c r="R47" i="22"/>
  <c r="E15" i="23"/>
  <c r="R41" i="23"/>
  <c r="Q43" i="23"/>
  <c r="R48" i="23"/>
  <c r="S42" i="24"/>
  <c r="R47" i="24"/>
  <c r="H11" i="25"/>
  <c r="Q42" i="25"/>
  <c r="T45" i="25"/>
  <c r="R47" i="25"/>
  <c r="S44" i="26"/>
  <c r="T45" i="26"/>
  <c r="R47" i="26"/>
  <c r="E15" i="27"/>
  <c r="T46" i="27"/>
  <c r="E17" i="28"/>
  <c r="H38" i="28"/>
  <c r="T45" i="28"/>
  <c r="R47" i="28"/>
  <c r="S42" i="29"/>
  <c r="Q45" i="29"/>
  <c r="T42" i="30"/>
  <c r="S46" i="30"/>
  <c r="R47" i="30"/>
  <c r="Q48" i="5"/>
  <c r="H33" i="6"/>
  <c r="T42" i="6"/>
  <c r="S48" i="6"/>
  <c r="E23" i="7"/>
  <c r="H36" i="7"/>
  <c r="O42" i="7" a="1"/>
  <c r="O42" i="7" s="1"/>
  <c r="Q48" i="7"/>
  <c r="S42" i="8"/>
  <c r="R43" i="8"/>
  <c r="T47" i="8"/>
  <c r="R43" i="9"/>
  <c r="O48" i="9" a="1"/>
  <c r="O48" i="9" s="1"/>
  <c r="O46" i="10" a="1"/>
  <c r="O46" i="10" s="1"/>
  <c r="T42" i="11"/>
  <c r="R47" i="11"/>
  <c r="T42" i="12"/>
  <c r="O42" i="13" a="1"/>
  <c r="O42" i="13" s="1"/>
  <c r="Q43" i="13"/>
  <c r="S46" i="13"/>
  <c r="H36" i="14"/>
  <c r="R41" i="14"/>
  <c r="E17" i="15"/>
  <c r="O43" i="15" a="1"/>
  <c r="O43" i="15" s="1"/>
  <c r="H24" i="16"/>
  <c r="T44" i="16"/>
  <c r="O44" i="17" a="1"/>
  <c r="O44" i="17" s="1"/>
  <c r="T42" i="18"/>
  <c r="R47" i="18"/>
  <c r="S41" i="19"/>
  <c r="Q48" i="19"/>
  <c r="H17" i="20"/>
  <c r="T42" i="20"/>
  <c r="Q43" i="20"/>
  <c r="S45" i="20"/>
  <c r="R46" i="20"/>
  <c r="T48" i="20"/>
  <c r="O42" i="21" a="1"/>
  <c r="O42" i="21" s="1"/>
  <c r="T46" i="21"/>
  <c r="H13" i="22"/>
  <c r="H33" i="22"/>
  <c r="O46" i="22" a="1"/>
  <c r="O46" i="22" s="1"/>
  <c r="H11" i="23"/>
  <c r="E30" i="23"/>
  <c r="O42" i="23" a="1"/>
  <c r="O42" i="23" s="1"/>
  <c r="X42" i="23" s="1"/>
  <c r="T46" i="23"/>
  <c r="T42" i="24"/>
  <c r="T45" i="24"/>
  <c r="H33" i="25"/>
  <c r="S45" i="25"/>
  <c r="O46" i="25" a="1"/>
  <c r="O46" i="25" s="1"/>
  <c r="R45" i="26"/>
  <c r="O43" i="27" a="1"/>
  <c r="O43" i="27" s="1"/>
  <c r="S46" i="27"/>
  <c r="E24" i="28"/>
  <c r="E29" i="28"/>
  <c r="T43" i="29"/>
  <c r="R48" i="29"/>
  <c r="Q42" i="30"/>
  <c r="T45" i="30"/>
  <c r="Q47" i="30"/>
  <c r="O43" i="7" a="1"/>
  <c r="O43" i="7" s="1"/>
  <c r="T46" i="7"/>
  <c r="Q41" i="8"/>
  <c r="O48" i="8" a="1"/>
  <c r="O48" i="8" s="1"/>
  <c r="T41" i="9"/>
  <c r="S45" i="9"/>
  <c r="T46" i="9"/>
  <c r="S42" i="10"/>
  <c r="T47" i="10"/>
  <c r="S45" i="11"/>
  <c r="Q47" i="11"/>
  <c r="S42" i="12"/>
  <c r="T45" i="12"/>
  <c r="R47" i="12"/>
  <c r="E32" i="13"/>
  <c r="T41" i="13"/>
  <c r="R43" i="13"/>
  <c r="E23" i="14"/>
  <c r="O48" i="14" a="1"/>
  <c r="O48" i="14" s="1"/>
  <c r="H13" i="15"/>
  <c r="O44" i="15" a="1"/>
  <c r="O44" i="15" s="1"/>
  <c r="T42" i="16"/>
  <c r="R47" i="16"/>
  <c r="T42" i="17"/>
  <c r="O47" i="17" a="1"/>
  <c r="O47" i="17" s="1"/>
  <c r="T45" i="18"/>
  <c r="O42" i="19" a="1"/>
  <c r="O42" i="19" s="1"/>
  <c r="T46" i="19"/>
  <c r="T41" i="20"/>
  <c r="R43" i="20"/>
  <c r="S46" i="20"/>
  <c r="H36" i="21"/>
  <c r="S43" i="21"/>
  <c r="T47" i="22"/>
  <c r="E25" i="23"/>
  <c r="T43" i="23"/>
  <c r="E33" i="24"/>
  <c r="O41" i="25" a="1"/>
  <c r="O41" i="25" s="1"/>
  <c r="S42" i="25"/>
  <c r="R43" i="25"/>
  <c r="S47" i="25"/>
  <c r="O48" i="25" a="1"/>
  <c r="O48" i="25" s="1"/>
  <c r="X48" i="25" s="1"/>
  <c r="O46" i="26" a="1"/>
  <c r="O46" i="26" s="1"/>
  <c r="S47" i="26"/>
  <c r="H36" i="27"/>
  <c r="S41" i="27"/>
  <c r="O44" i="27" a="1"/>
  <c r="O44" i="27" s="1"/>
  <c r="O41" i="28" a="1"/>
  <c r="O41" i="28" s="1"/>
  <c r="T42" i="28"/>
  <c r="H11" i="29"/>
  <c r="T41" i="29"/>
  <c r="R43" i="29"/>
  <c r="T46" i="29"/>
  <c r="T48" i="29"/>
  <c r="S45" i="30"/>
  <c r="O46" i="30" a="1"/>
  <c r="O46" i="30" s="1"/>
  <c r="T44" i="6"/>
  <c r="Q47" i="6"/>
  <c r="S46" i="7"/>
  <c r="H36" i="8"/>
  <c r="O42" i="8" a="1"/>
  <c r="O42" i="8" s="1"/>
  <c r="T48" i="8"/>
  <c r="R46" i="9"/>
  <c r="Q41" i="10"/>
  <c r="O46" i="11" a="1"/>
  <c r="O46" i="11" s="1"/>
  <c r="O46" i="12" a="1"/>
  <c r="O46" i="12" s="1"/>
  <c r="R41" i="13"/>
  <c r="O44" i="13" a="1"/>
  <c r="O44" i="13" s="1"/>
  <c r="T42" i="14"/>
  <c r="R44" i="14"/>
  <c r="T42" i="15"/>
  <c r="E19" i="16"/>
  <c r="H38" i="16"/>
  <c r="T45" i="16"/>
  <c r="H38" i="17"/>
  <c r="T45" i="17"/>
  <c r="R47" i="17"/>
  <c r="O46" i="18" a="1"/>
  <c r="O46" i="18" s="1"/>
  <c r="Q46" i="19"/>
  <c r="R41" i="20"/>
  <c r="O44" i="20" a="1"/>
  <c r="O44" i="20" s="1"/>
  <c r="O44" i="21" a="1"/>
  <c r="O44" i="21" s="1"/>
  <c r="T41" i="22"/>
  <c r="R43" i="22"/>
  <c r="O48" i="22" a="1"/>
  <c r="O48" i="22" s="1"/>
  <c r="X48" i="22" s="1"/>
  <c r="O44" i="23" a="1"/>
  <c r="O44" i="23" s="1"/>
  <c r="X44" i="23" s="1"/>
  <c r="O41" i="24" a="1"/>
  <c r="O41" i="24" s="1"/>
  <c r="X41" i="24" s="1"/>
  <c r="R43" i="24"/>
  <c r="S46" i="5"/>
  <c r="O45" i="6" a="1"/>
  <c r="O45" i="6" s="1"/>
  <c r="T42" i="7"/>
  <c r="O44" i="7" a="1"/>
  <c r="O44" i="7" s="1"/>
  <c r="X46" i="7" s="1"/>
  <c r="O43" i="9" a="1"/>
  <c r="O43" i="9" s="1"/>
  <c r="O42" i="10" a="1"/>
  <c r="O42" i="10" s="1"/>
  <c r="T47" i="11"/>
  <c r="R43" i="12"/>
  <c r="O47" i="12" a="1"/>
  <c r="O47" i="12" s="1"/>
  <c r="E12" i="13"/>
  <c r="H15" i="13"/>
  <c r="O45" i="13" a="1"/>
  <c r="O45" i="13" s="1"/>
  <c r="O47" i="13" a="1"/>
  <c r="O47" i="13" s="1"/>
  <c r="T45" i="15"/>
  <c r="R47" i="15"/>
  <c r="O46" i="16" a="1"/>
  <c r="O46" i="16" s="1"/>
  <c r="O46" i="17" a="1"/>
  <c r="O46" i="17" s="1"/>
  <c r="O47" i="18" a="1"/>
  <c r="O47" i="18" s="1"/>
  <c r="O48" i="18" a="1"/>
  <c r="O48" i="18" s="1"/>
  <c r="Q44" i="19"/>
  <c r="O45" i="20" a="1"/>
  <c r="O45" i="20" s="1"/>
  <c r="R47" i="20"/>
  <c r="T42" i="21"/>
  <c r="R47" i="21"/>
  <c r="O42" i="22" a="1"/>
  <c r="O42" i="22" s="1"/>
  <c r="T46" i="22"/>
  <c r="H21" i="23"/>
  <c r="H32" i="23"/>
  <c r="E38" i="23"/>
  <c r="T42" i="23"/>
  <c r="E15" i="24"/>
  <c r="H19" i="24"/>
  <c r="T41" i="24"/>
  <c r="S45" i="24"/>
  <c r="O48" i="24" a="1"/>
  <c r="O48" i="24" s="1"/>
  <c r="X48" i="24" s="1"/>
  <c r="H13" i="25"/>
  <c r="H36" i="25"/>
  <c r="Q41" i="25"/>
  <c r="O42" i="25" a="1"/>
  <c r="O42" i="25" s="1"/>
  <c r="T46" i="25"/>
  <c r="Q41" i="26"/>
  <c r="S42" i="27"/>
  <c r="T45" i="27"/>
  <c r="Q47" i="27"/>
  <c r="O48" i="28" a="1"/>
  <c r="O48" i="28" s="1"/>
  <c r="X48" i="28" s="1"/>
  <c r="O48" i="29" a="1"/>
  <c r="O48" i="29" s="1"/>
  <c r="X48" i="29" s="1"/>
  <c r="T41" i="30"/>
  <c r="Q43" i="30"/>
  <c r="Q47" i="5"/>
  <c r="Q43" i="6"/>
  <c r="Q45" i="6"/>
  <c r="R47" i="6"/>
  <c r="S42" i="7"/>
  <c r="O45" i="7" a="1"/>
  <c r="O45" i="7" s="1"/>
  <c r="R47" i="7"/>
  <c r="O44" i="8" a="1"/>
  <c r="O44" i="8" s="1"/>
  <c r="S41" i="9"/>
  <c r="O44" i="9" a="1"/>
  <c r="O44" i="9" s="1"/>
  <c r="R47" i="9"/>
  <c r="E25" i="10"/>
  <c r="T43" i="10"/>
  <c r="R41" i="11"/>
  <c r="Q43" i="11"/>
  <c r="T41" i="12"/>
  <c r="Q43" i="12"/>
  <c r="S42" i="13"/>
  <c r="O46" i="13" a="1"/>
  <c r="O46" i="13" s="1"/>
  <c r="Q47" i="13"/>
  <c r="E21" i="14"/>
  <c r="H29" i="14"/>
  <c r="O44" i="14" a="1"/>
  <c r="O44" i="14" s="1"/>
  <c r="T45" i="14"/>
  <c r="R47" i="14"/>
  <c r="H33" i="15"/>
  <c r="Q45" i="15"/>
  <c r="O46" i="15" a="1"/>
  <c r="O46" i="15" s="1"/>
  <c r="X43" i="15" s="1"/>
  <c r="R43" i="16"/>
  <c r="O47" i="16" a="1"/>
  <c r="O47" i="16" s="1"/>
  <c r="E29" i="17"/>
  <c r="S42" i="17"/>
  <c r="T47" i="17"/>
  <c r="O48" i="17" a="1"/>
  <c r="O48" i="17" s="1"/>
  <c r="E12" i="18"/>
  <c r="T41" i="18"/>
  <c r="Q43" i="18"/>
  <c r="S48" i="18"/>
  <c r="E12" i="19"/>
  <c r="T42" i="19"/>
  <c r="R47" i="19"/>
  <c r="E15" i="20"/>
  <c r="E30" i="20"/>
  <c r="S41" i="20"/>
  <c r="R42" i="20"/>
  <c r="T46" i="20"/>
  <c r="Q47" i="20"/>
  <c r="E15" i="21"/>
  <c r="E25" i="21"/>
  <c r="S45" i="21"/>
  <c r="H11" i="22"/>
  <c r="T43" i="22"/>
  <c r="R45" i="23"/>
  <c r="R47" i="23"/>
  <c r="T46" i="24"/>
  <c r="S43" i="25"/>
  <c r="S46" i="25"/>
  <c r="S43" i="26"/>
  <c r="Q48" i="26"/>
  <c r="H19" i="27"/>
  <c r="E25" i="27"/>
  <c r="E33" i="27"/>
  <c r="H36" i="28"/>
  <c r="S43" i="28"/>
  <c r="T44" i="28"/>
  <c r="E25" i="29"/>
  <c r="T42" i="29"/>
  <c r="T44" i="29"/>
  <c r="S46" i="29"/>
  <c r="H36" i="30"/>
  <c r="Q41" i="30"/>
  <c r="O42" i="30" a="1"/>
  <c r="O42" i="30" s="1"/>
  <c r="T46" i="30"/>
  <c r="R47" i="8"/>
  <c r="T42" i="9"/>
  <c r="R44" i="10"/>
  <c r="O42" i="11" a="1"/>
  <c r="O42" i="11" s="1"/>
  <c r="T46" i="11"/>
  <c r="T48" i="11"/>
  <c r="O42" i="12" a="1"/>
  <c r="O42" i="12" s="1"/>
  <c r="T46" i="12"/>
  <c r="O48" i="12" a="1"/>
  <c r="O48" i="12" s="1"/>
  <c r="E20" i="13"/>
  <c r="H23" i="13"/>
  <c r="E27" i="13"/>
  <c r="T45" i="13"/>
  <c r="R47" i="13"/>
  <c r="E17" i="14"/>
  <c r="S42" i="14"/>
  <c r="R45" i="14"/>
  <c r="T41" i="15"/>
  <c r="Q41" i="15"/>
  <c r="R43" i="15"/>
  <c r="O47" i="15" a="1"/>
  <c r="O47" i="15" s="1"/>
  <c r="O48" i="15" a="1"/>
  <c r="O48" i="15" s="1"/>
  <c r="Q41" i="16"/>
  <c r="O48" i="16" a="1"/>
  <c r="O48" i="16" s="1"/>
  <c r="T41" i="17"/>
  <c r="R43" i="17"/>
  <c r="R48" i="17"/>
  <c r="O42" i="18" a="1"/>
  <c r="O42" i="18" s="1"/>
  <c r="R43" i="18"/>
  <c r="T46" i="18"/>
  <c r="Q42" i="19"/>
  <c r="T45" i="19"/>
  <c r="Q47" i="19"/>
  <c r="E25" i="20"/>
  <c r="S42" i="20"/>
  <c r="T45" i="20"/>
  <c r="O47" i="20" a="1"/>
  <c r="O47" i="20" s="1"/>
  <c r="H11" i="21"/>
  <c r="H25" i="21"/>
  <c r="E33" i="21"/>
  <c r="O46" i="21" a="1"/>
  <c r="O46" i="21" s="1"/>
  <c r="O44" i="22" a="1"/>
  <c r="O44" i="22" s="1"/>
  <c r="E33" i="23"/>
  <c r="O46" i="23" a="1"/>
  <c r="O46" i="23" s="1"/>
  <c r="X46" i="23" s="1"/>
  <c r="H11" i="24"/>
  <c r="H36" i="24"/>
  <c r="O43" i="24" a="1"/>
  <c r="O43" i="24" s="1"/>
  <c r="X43" i="24" s="1"/>
  <c r="R46" i="24"/>
  <c r="O44" i="25" a="1"/>
  <c r="O44" i="25" s="1"/>
  <c r="T42" i="26"/>
  <c r="T44" i="26"/>
  <c r="R43" i="27"/>
  <c r="O47" i="27" a="1"/>
  <c r="O47" i="27" s="1"/>
  <c r="O48" i="27" a="1"/>
  <c r="O48" i="27" s="1"/>
  <c r="X48" i="27" s="1"/>
  <c r="O44" i="28" a="1"/>
  <c r="O44" i="28" s="1"/>
  <c r="O47" i="29" a="1"/>
  <c r="O47" i="29" s="1"/>
  <c r="S43" i="30"/>
  <c r="T44" i="30"/>
  <c r="Q46" i="30"/>
  <c r="R41" i="6"/>
  <c r="R43" i="6"/>
  <c r="Q41" i="7"/>
  <c r="O46" i="7" a="1"/>
  <c r="O46" i="7" s="1"/>
  <c r="Q42" i="8"/>
  <c r="T45" i="8"/>
  <c r="Q47" i="8"/>
  <c r="R42" i="9"/>
  <c r="H36" i="11"/>
  <c r="X43" i="18"/>
  <c r="T42" i="25"/>
  <c r="O45" i="25" a="1"/>
  <c r="O45" i="25" s="1"/>
  <c r="T41" i="27"/>
  <c r="Q43" i="27"/>
  <c r="S45" i="27"/>
  <c r="R48" i="27"/>
  <c r="R42" i="28"/>
  <c r="T46" i="28"/>
  <c r="H38" i="29"/>
  <c r="O44" i="29" a="1"/>
  <c r="O44" i="29" s="1"/>
  <c r="T45" i="29"/>
  <c r="R47" i="29"/>
  <c r="O44" i="30" a="1"/>
  <c r="O44" i="30" s="1"/>
  <c r="Q44" i="30"/>
  <c r="Q48" i="30"/>
  <c r="E11" i="30"/>
  <c r="E21" i="30"/>
  <c r="H29" i="30"/>
  <c r="E33" i="30"/>
  <c r="T43" i="30"/>
  <c r="R44" i="30"/>
  <c r="T47" i="30"/>
  <c r="R48" i="30"/>
  <c r="Q45" i="30"/>
  <c r="E19" i="30"/>
  <c r="H37" i="30"/>
  <c r="R41" i="30"/>
  <c r="R45" i="30"/>
  <c r="T48" i="30"/>
  <c r="E23" i="30"/>
  <c r="H30" i="30"/>
  <c r="S41" i="30"/>
  <c r="O43" i="30" a="1"/>
  <c r="O43" i="30" s="1"/>
  <c r="O47" i="30" a="1"/>
  <c r="O47" i="30" s="1"/>
  <c r="S44" i="30"/>
  <c r="H12" i="30"/>
  <c r="H34" i="30"/>
  <c r="R42" i="30"/>
  <c r="R46" i="30"/>
  <c r="H16" i="30"/>
  <c r="H27" i="30"/>
  <c r="E37" i="30"/>
  <c r="E13" i="30"/>
  <c r="E24" i="30"/>
  <c r="H13" i="29"/>
  <c r="E17" i="29"/>
  <c r="H24" i="29"/>
  <c r="E29" i="29"/>
  <c r="O41" i="29" a="1"/>
  <c r="O41" i="29" s="1"/>
  <c r="S43" i="29"/>
  <c r="Q44" i="29"/>
  <c r="O45" i="29" a="1"/>
  <c r="O45" i="29" s="1"/>
  <c r="S47" i="29"/>
  <c r="Q48" i="29"/>
  <c r="E11" i="29"/>
  <c r="E21" i="29"/>
  <c r="H29" i="29"/>
  <c r="E33" i="29"/>
  <c r="T47" i="29"/>
  <c r="Q41" i="29"/>
  <c r="S48" i="29"/>
  <c r="E19" i="29"/>
  <c r="H37" i="29"/>
  <c r="R41" i="29"/>
  <c r="E23" i="29"/>
  <c r="H30" i="29"/>
  <c r="Q42" i="29"/>
  <c r="O43" i="29" a="1"/>
  <c r="O43" i="29" s="1"/>
  <c r="X47" i="29" s="1"/>
  <c r="S45" i="29"/>
  <c r="Q46" i="29"/>
  <c r="R45" i="29"/>
  <c r="H12" i="29"/>
  <c r="H23" i="29"/>
  <c r="H34" i="29"/>
  <c r="R42" i="29"/>
  <c r="R46" i="29"/>
  <c r="S44" i="29"/>
  <c r="H27" i="29"/>
  <c r="Q43" i="29"/>
  <c r="Q47" i="29"/>
  <c r="E13" i="29"/>
  <c r="E24" i="29"/>
  <c r="Q44" i="28"/>
  <c r="Q48" i="28"/>
  <c r="E11" i="28"/>
  <c r="E21" i="28"/>
  <c r="H29" i="28"/>
  <c r="T43" i="28"/>
  <c r="R44" i="28"/>
  <c r="T47" i="28"/>
  <c r="R48" i="28"/>
  <c r="E34" i="28"/>
  <c r="S41" i="28"/>
  <c r="Q42" i="28"/>
  <c r="S45" i="28"/>
  <c r="Q46" i="28"/>
  <c r="O47" i="28" a="1"/>
  <c r="O47" i="28" s="1"/>
  <c r="E37" i="28"/>
  <c r="Q41" i="28"/>
  <c r="O42" i="28" a="1"/>
  <c r="O42" i="28" s="1"/>
  <c r="S44" i="28"/>
  <c r="Q45" i="28"/>
  <c r="O46" i="28" a="1"/>
  <c r="O46" i="28" s="1"/>
  <c r="X46" i="28" s="1"/>
  <c r="S48" i="28"/>
  <c r="E19" i="28"/>
  <c r="H37" i="28"/>
  <c r="R41" i="28"/>
  <c r="R45" i="28"/>
  <c r="H30" i="28"/>
  <c r="O43" i="28" a="1"/>
  <c r="O43" i="28" s="1"/>
  <c r="H12" i="28"/>
  <c r="H23" i="28"/>
  <c r="H34" i="28"/>
  <c r="S42" i="28"/>
  <c r="Q43" i="28"/>
  <c r="S46" i="28"/>
  <c r="Q47" i="28"/>
  <c r="E13" i="28"/>
  <c r="X45" i="27"/>
  <c r="S43" i="27"/>
  <c r="Q44" i="27"/>
  <c r="S47" i="27"/>
  <c r="Q48" i="27"/>
  <c r="E21" i="27"/>
  <c r="H29" i="27"/>
  <c r="R44" i="27"/>
  <c r="T47" i="27"/>
  <c r="H21" i="27"/>
  <c r="E37" i="27"/>
  <c r="Q41" i="27"/>
  <c r="O42" i="27" a="1"/>
  <c r="O42" i="27" s="1"/>
  <c r="X44" i="27" s="1"/>
  <c r="S44" i="27"/>
  <c r="Q45" i="27"/>
  <c r="O46" i="27" a="1"/>
  <c r="O46" i="27" s="1"/>
  <c r="S48" i="27"/>
  <c r="E11" i="27"/>
  <c r="H17" i="27"/>
  <c r="T43" i="27"/>
  <c r="H15" i="27"/>
  <c r="E19" i="27"/>
  <c r="H25" i="27"/>
  <c r="E30" i="27"/>
  <c r="R41" i="27"/>
  <c r="T44" i="27"/>
  <c r="R45" i="27"/>
  <c r="T48" i="27"/>
  <c r="E23" i="27"/>
  <c r="H30" i="27"/>
  <c r="Q42" i="27"/>
  <c r="Q46" i="27"/>
  <c r="H12" i="27"/>
  <c r="E16" i="27"/>
  <c r="H23" i="27"/>
  <c r="E27" i="27"/>
  <c r="H34" i="27"/>
  <c r="E38" i="27"/>
  <c r="R42" i="27"/>
  <c r="R46" i="27"/>
  <c r="H16" i="27"/>
  <c r="E20" i="27"/>
  <c r="E13" i="27"/>
  <c r="H13" i="26"/>
  <c r="O41" i="26" a="1"/>
  <c r="O41" i="26" s="1"/>
  <c r="O45" i="26" a="1"/>
  <c r="O45" i="26" s="1"/>
  <c r="E17" i="26"/>
  <c r="Q44" i="26"/>
  <c r="E11" i="26"/>
  <c r="E21" i="26"/>
  <c r="H29" i="26"/>
  <c r="E33" i="26"/>
  <c r="T43" i="26"/>
  <c r="R44" i="26"/>
  <c r="T47" i="26"/>
  <c r="R48" i="26"/>
  <c r="Q45" i="26"/>
  <c r="H37" i="26"/>
  <c r="T48" i="26"/>
  <c r="E23" i="26"/>
  <c r="H30" i="26"/>
  <c r="S41" i="26"/>
  <c r="Q42" i="26"/>
  <c r="O43" i="26" a="1"/>
  <c r="O43" i="26" s="1"/>
  <c r="S45" i="26"/>
  <c r="Q46" i="26"/>
  <c r="O47" i="26" a="1"/>
  <c r="O47" i="26" s="1"/>
  <c r="H12" i="26"/>
  <c r="H23" i="26"/>
  <c r="H34" i="26"/>
  <c r="R42" i="26"/>
  <c r="R46" i="26"/>
  <c r="R41" i="26"/>
  <c r="H16" i="26"/>
  <c r="H27" i="26"/>
  <c r="S42" i="26"/>
  <c r="Q43" i="26"/>
  <c r="O44" i="26" a="1"/>
  <c r="O44" i="26" s="1"/>
  <c r="S46" i="26"/>
  <c r="Q47" i="26"/>
  <c r="E13" i="26"/>
  <c r="E24" i="26"/>
  <c r="X41" i="25"/>
  <c r="Q44" i="25"/>
  <c r="Q48" i="25"/>
  <c r="E11" i="25"/>
  <c r="E21" i="25"/>
  <c r="H29" i="25"/>
  <c r="E33" i="25"/>
  <c r="T43" i="25"/>
  <c r="R44" i="25"/>
  <c r="T47" i="25"/>
  <c r="R48" i="25"/>
  <c r="H37" i="25"/>
  <c r="R41" i="25"/>
  <c r="T44" i="25"/>
  <c r="R45" i="25"/>
  <c r="T48" i="25"/>
  <c r="S44" i="25"/>
  <c r="Q45" i="25"/>
  <c r="E23" i="25"/>
  <c r="H30" i="25"/>
  <c r="S41" i="25"/>
  <c r="O43" i="25" a="1"/>
  <c r="O43" i="25" s="1"/>
  <c r="Q46" i="25"/>
  <c r="O47" i="25" a="1"/>
  <c r="O47" i="25" s="1"/>
  <c r="H12" i="25"/>
  <c r="H23" i="25"/>
  <c r="H34" i="25"/>
  <c r="R42" i="25"/>
  <c r="R46" i="25"/>
  <c r="E37" i="25"/>
  <c r="H16" i="25"/>
  <c r="H27" i="25"/>
  <c r="Q47" i="25"/>
  <c r="E13" i="25"/>
  <c r="E24" i="25"/>
  <c r="O46" i="24" a="1"/>
  <c r="O46" i="24" s="1"/>
  <c r="X46" i="24" s="1"/>
  <c r="S43" i="24"/>
  <c r="Q44" i="24"/>
  <c r="Q48" i="24"/>
  <c r="E11" i="24"/>
  <c r="E21" i="24"/>
  <c r="H29" i="24"/>
  <c r="T43" i="24"/>
  <c r="R44" i="24"/>
  <c r="T47" i="24"/>
  <c r="R48" i="24"/>
  <c r="H21" i="24"/>
  <c r="E37" i="24"/>
  <c r="Q41" i="24"/>
  <c r="O42" i="24" a="1"/>
  <c r="O42" i="24" s="1"/>
  <c r="X42" i="24" s="1"/>
  <c r="S44" i="24"/>
  <c r="Q45" i="24"/>
  <c r="S48" i="24"/>
  <c r="H15" i="24"/>
  <c r="H25" i="24"/>
  <c r="E30" i="24"/>
  <c r="R41" i="24"/>
  <c r="T44" i="24"/>
  <c r="R45" i="24"/>
  <c r="T48" i="24"/>
  <c r="S47" i="24"/>
  <c r="E12" i="24"/>
  <c r="E23" i="24"/>
  <c r="H30" i="24"/>
  <c r="Q42" i="24"/>
  <c r="Q46" i="24"/>
  <c r="H23" i="24"/>
  <c r="E27" i="24"/>
  <c r="H34" i="24"/>
  <c r="E38" i="24"/>
  <c r="R42" i="24"/>
  <c r="H16" i="24"/>
  <c r="E20" i="24"/>
  <c r="H27" i="24"/>
  <c r="Q43" i="24"/>
  <c r="S46" i="24"/>
  <c r="Q47" i="24"/>
  <c r="E13" i="24"/>
  <c r="E24" i="24"/>
  <c r="S44" i="23"/>
  <c r="H37" i="23"/>
  <c r="T48" i="23"/>
  <c r="E23" i="23"/>
  <c r="H30" i="23"/>
  <c r="E34" i="23"/>
  <c r="S41" i="23"/>
  <c r="Q42" i="23"/>
  <c r="O43" i="23" a="1"/>
  <c r="O43" i="23" s="1"/>
  <c r="X43" i="23" s="1"/>
  <c r="S45" i="23"/>
  <c r="Q46" i="23"/>
  <c r="O47" i="23" a="1"/>
  <c r="O47" i="23" s="1"/>
  <c r="X47" i="23" s="1"/>
  <c r="S47" i="23"/>
  <c r="E37" i="23"/>
  <c r="T44" i="23"/>
  <c r="H34" i="23"/>
  <c r="T41" i="23"/>
  <c r="R42" i="23"/>
  <c r="T45" i="23"/>
  <c r="R46" i="23"/>
  <c r="H36" i="23"/>
  <c r="S43" i="23"/>
  <c r="Q44" i="23"/>
  <c r="Q48" i="23"/>
  <c r="E11" i="23"/>
  <c r="E21" i="23"/>
  <c r="R44" i="23"/>
  <c r="Q41" i="23"/>
  <c r="Q45" i="23"/>
  <c r="S48" i="23"/>
  <c r="H16" i="23"/>
  <c r="H27" i="23"/>
  <c r="S42" i="23"/>
  <c r="S46" i="23"/>
  <c r="Q47" i="23"/>
  <c r="E13" i="23"/>
  <c r="E24" i="23"/>
  <c r="E11" i="22"/>
  <c r="E21" i="22"/>
  <c r="H29" i="22"/>
  <c r="R48" i="22"/>
  <c r="E37" i="22"/>
  <c r="H37" i="22"/>
  <c r="R41" i="22"/>
  <c r="R45" i="22"/>
  <c r="T48" i="22"/>
  <c r="E23" i="22"/>
  <c r="H30" i="22"/>
  <c r="S41" i="22"/>
  <c r="Q42" i="22"/>
  <c r="O43" i="22" a="1"/>
  <c r="O43" i="22" s="1"/>
  <c r="X43" i="22" s="1"/>
  <c r="S45" i="22"/>
  <c r="Q46" i="22"/>
  <c r="S43" i="22"/>
  <c r="Q44" i="22"/>
  <c r="Q48" i="22"/>
  <c r="R44" i="22"/>
  <c r="Q41" i="22"/>
  <c r="S44" i="22"/>
  <c r="Q45" i="22"/>
  <c r="S48" i="22"/>
  <c r="T44" i="22"/>
  <c r="H12" i="22"/>
  <c r="H34" i="22"/>
  <c r="R42" i="22"/>
  <c r="R46" i="22"/>
  <c r="S47" i="22"/>
  <c r="H16" i="22"/>
  <c r="H27" i="22"/>
  <c r="S42" i="22"/>
  <c r="Q43" i="22"/>
  <c r="S46" i="22"/>
  <c r="Q47" i="22"/>
  <c r="E13" i="22"/>
  <c r="E24" i="22"/>
  <c r="H29" i="21"/>
  <c r="Q44" i="21"/>
  <c r="E11" i="21"/>
  <c r="E21" i="21"/>
  <c r="T43" i="21"/>
  <c r="R44" i="21"/>
  <c r="T47" i="21"/>
  <c r="E37" i="21"/>
  <c r="S44" i="21"/>
  <c r="S48" i="21"/>
  <c r="R41" i="21"/>
  <c r="T44" i="21"/>
  <c r="R45" i="21"/>
  <c r="T48" i="21"/>
  <c r="E23" i="21"/>
  <c r="S41" i="21"/>
  <c r="O43" i="21" a="1"/>
  <c r="O43" i="21" s="1"/>
  <c r="O47" i="21" a="1"/>
  <c r="O47" i="21" s="1"/>
  <c r="H23" i="21"/>
  <c r="E27" i="21"/>
  <c r="T41" i="21"/>
  <c r="R42" i="21"/>
  <c r="T45" i="21"/>
  <c r="H16" i="21"/>
  <c r="E20" i="21"/>
  <c r="H27" i="21"/>
  <c r="S42" i="21"/>
  <c r="Q43" i="21"/>
  <c r="S46" i="21"/>
  <c r="Q47" i="21"/>
  <c r="O48" i="21" a="1"/>
  <c r="O48" i="21" s="1"/>
  <c r="X48" i="21" s="1"/>
  <c r="Q48" i="21"/>
  <c r="Q45" i="21"/>
  <c r="H37" i="21"/>
  <c r="H30" i="21"/>
  <c r="Q42" i="21"/>
  <c r="Q46" i="21"/>
  <c r="H34" i="21"/>
  <c r="E38" i="21"/>
  <c r="R46" i="21"/>
  <c r="E13" i="21"/>
  <c r="E24" i="21"/>
  <c r="Q48" i="20"/>
  <c r="E11" i="20"/>
  <c r="E21" i="20"/>
  <c r="H29" i="20"/>
  <c r="E33" i="20"/>
  <c r="T43" i="20"/>
  <c r="R44" i="20"/>
  <c r="T47" i="20"/>
  <c r="R48" i="20"/>
  <c r="E37" i="20"/>
  <c r="Q41" i="20"/>
  <c r="O42" i="20" a="1"/>
  <c r="O42" i="20" s="1"/>
  <c r="S44" i="20"/>
  <c r="Q45" i="20"/>
  <c r="O46" i="20" a="1"/>
  <c r="O46" i="20" s="1"/>
  <c r="S48" i="20"/>
  <c r="S43" i="20"/>
  <c r="Q44" i="20"/>
  <c r="H15" i="20"/>
  <c r="T44" i="20"/>
  <c r="H36" i="20"/>
  <c r="E23" i="20"/>
  <c r="H30" i="20"/>
  <c r="Q42" i="20"/>
  <c r="O43" i="20" a="1"/>
  <c r="O43" i="20" s="1"/>
  <c r="X43" i="20" s="1"/>
  <c r="Q46" i="20"/>
  <c r="H12" i="20"/>
  <c r="H23" i="20"/>
  <c r="E27" i="20"/>
  <c r="H34" i="20"/>
  <c r="E20" i="20"/>
  <c r="H29" i="19"/>
  <c r="R48" i="19"/>
  <c r="E37" i="19"/>
  <c r="Q41" i="19"/>
  <c r="S44" i="19"/>
  <c r="Q45" i="19"/>
  <c r="S48" i="19"/>
  <c r="H15" i="19"/>
  <c r="H25" i="19"/>
  <c r="E30" i="19"/>
  <c r="H37" i="19"/>
  <c r="R41" i="19"/>
  <c r="T44" i="19"/>
  <c r="R45" i="19"/>
  <c r="T48" i="19"/>
  <c r="S47" i="19"/>
  <c r="E11" i="19"/>
  <c r="H30" i="19"/>
  <c r="S45" i="19"/>
  <c r="H23" i="19"/>
  <c r="E27" i="19"/>
  <c r="H34" i="19"/>
  <c r="E38" i="19"/>
  <c r="T41" i="19"/>
  <c r="R42" i="19"/>
  <c r="R46" i="19"/>
  <c r="H36" i="19"/>
  <c r="E21" i="19"/>
  <c r="R44" i="19"/>
  <c r="E34" i="19"/>
  <c r="O43" i="19" a="1"/>
  <c r="O43" i="19" s="1"/>
  <c r="H16" i="19"/>
  <c r="E20" i="19"/>
  <c r="H27" i="19"/>
  <c r="S42" i="19"/>
  <c r="Q43" i="19"/>
  <c r="O44" i="19" a="1"/>
  <c r="O44" i="19" s="1"/>
  <c r="S46" i="19"/>
  <c r="O48" i="19" a="1"/>
  <c r="O48" i="19" s="1"/>
  <c r="X48" i="19" s="1"/>
  <c r="S43" i="19"/>
  <c r="T47" i="19"/>
  <c r="E13" i="19"/>
  <c r="E24" i="19"/>
  <c r="X44" i="18"/>
  <c r="X45" i="18"/>
  <c r="X41" i="18"/>
  <c r="X47" i="18"/>
  <c r="X48" i="18"/>
  <c r="X46" i="18"/>
  <c r="X42" i="18"/>
  <c r="S43" i="18"/>
  <c r="Q44" i="18"/>
  <c r="H29" i="18"/>
  <c r="T47" i="18"/>
  <c r="H37" i="18"/>
  <c r="R41" i="18"/>
  <c r="T44" i="18"/>
  <c r="R45" i="18"/>
  <c r="T48" i="18"/>
  <c r="S47" i="18"/>
  <c r="E11" i="18"/>
  <c r="T43" i="18"/>
  <c r="E37" i="18"/>
  <c r="Q41" i="18"/>
  <c r="S44" i="18"/>
  <c r="Q45" i="18"/>
  <c r="E23" i="18"/>
  <c r="H30" i="18"/>
  <c r="E34" i="18"/>
  <c r="S41" i="18"/>
  <c r="Q42" i="18"/>
  <c r="S45" i="18"/>
  <c r="Q46" i="18"/>
  <c r="E21" i="18"/>
  <c r="R48" i="18"/>
  <c r="H23" i="18"/>
  <c r="E27" i="18"/>
  <c r="H34" i="18"/>
  <c r="R42" i="18"/>
  <c r="R46" i="18"/>
  <c r="H16" i="18"/>
  <c r="E20" i="18"/>
  <c r="H27" i="18"/>
  <c r="S42" i="18"/>
  <c r="S46" i="18"/>
  <c r="Q47" i="18"/>
  <c r="E13" i="18"/>
  <c r="E24" i="18"/>
  <c r="X41" i="17"/>
  <c r="E21" i="17"/>
  <c r="T43" i="17"/>
  <c r="R44" i="17"/>
  <c r="S48" i="17"/>
  <c r="E19" i="17"/>
  <c r="R41" i="17"/>
  <c r="T44" i="17"/>
  <c r="R45" i="17"/>
  <c r="T48" i="17"/>
  <c r="H19" i="17"/>
  <c r="E23" i="17"/>
  <c r="H30" i="17"/>
  <c r="E34" i="17"/>
  <c r="S41" i="17"/>
  <c r="Q42" i="17"/>
  <c r="O43" i="17" a="1"/>
  <c r="O43" i="17" s="1"/>
  <c r="X43" i="17" s="1"/>
  <c r="S45" i="17"/>
  <c r="Q46" i="17"/>
  <c r="Q44" i="17"/>
  <c r="Q48" i="17"/>
  <c r="E11" i="17"/>
  <c r="H29" i="17"/>
  <c r="E37" i="17"/>
  <c r="Q41" i="17"/>
  <c r="S44" i="17"/>
  <c r="Q45" i="17"/>
  <c r="H12" i="17"/>
  <c r="H23" i="17"/>
  <c r="H34" i="17"/>
  <c r="R42" i="17"/>
  <c r="R46" i="17"/>
  <c r="H16" i="17"/>
  <c r="H27" i="17"/>
  <c r="Q43" i="17"/>
  <c r="S46" i="17"/>
  <c r="Q47" i="17"/>
  <c r="S47" i="17"/>
  <c r="E13" i="17"/>
  <c r="E24" i="17"/>
  <c r="X44" i="16"/>
  <c r="T47" i="16"/>
  <c r="E21" i="16"/>
  <c r="R48" i="16"/>
  <c r="E37" i="16"/>
  <c r="S44" i="16"/>
  <c r="Q45" i="16"/>
  <c r="H37" i="16"/>
  <c r="R41" i="16"/>
  <c r="R45" i="16"/>
  <c r="T48" i="16"/>
  <c r="E23" i="16"/>
  <c r="H30" i="16"/>
  <c r="S41" i="16"/>
  <c r="O43" i="16" a="1"/>
  <c r="O43" i="16" s="1"/>
  <c r="X43" i="16" s="1"/>
  <c r="S45" i="16"/>
  <c r="Q46" i="16"/>
  <c r="H23" i="16"/>
  <c r="E27" i="16"/>
  <c r="H34" i="16"/>
  <c r="E38" i="16"/>
  <c r="T41" i="16"/>
  <c r="R42" i="16"/>
  <c r="R46" i="16"/>
  <c r="H16" i="16"/>
  <c r="E20" i="16"/>
  <c r="H27" i="16"/>
  <c r="S42" i="16"/>
  <c r="Q43" i="16"/>
  <c r="S46" i="16"/>
  <c r="Q47" i="16"/>
  <c r="S43" i="16"/>
  <c r="Q44" i="16"/>
  <c r="Q48" i="16"/>
  <c r="E11" i="16"/>
  <c r="H29" i="16"/>
  <c r="R44" i="16"/>
  <c r="Q42" i="16"/>
  <c r="E13" i="16"/>
  <c r="E24" i="16"/>
  <c r="S43" i="15"/>
  <c r="S47" i="15"/>
  <c r="Q48" i="15"/>
  <c r="E11" i="15"/>
  <c r="E21" i="15"/>
  <c r="H29" i="15"/>
  <c r="E33" i="15"/>
  <c r="T43" i="15"/>
  <c r="R44" i="15"/>
  <c r="T47" i="15"/>
  <c r="R48" i="15"/>
  <c r="S48" i="15"/>
  <c r="R41" i="15"/>
  <c r="H19" i="15"/>
  <c r="E23" i="15"/>
  <c r="H30" i="15"/>
  <c r="S41" i="15"/>
  <c r="Q42" i="15"/>
  <c r="S45" i="15"/>
  <c r="Q46" i="15"/>
  <c r="Q44" i="15"/>
  <c r="T44" i="15"/>
  <c r="R45" i="15"/>
  <c r="H23" i="15"/>
  <c r="E27" i="15"/>
  <c r="H34" i="15"/>
  <c r="E38" i="15"/>
  <c r="R42" i="15"/>
  <c r="R46" i="15"/>
  <c r="E37" i="15"/>
  <c r="S44" i="15"/>
  <c r="H16" i="15"/>
  <c r="E20" i="15"/>
  <c r="H27" i="15"/>
  <c r="S42" i="15"/>
  <c r="S46" i="15"/>
  <c r="Q47" i="15"/>
  <c r="E13" i="15"/>
  <c r="E24" i="15"/>
  <c r="E25" i="14"/>
  <c r="E33" i="14"/>
  <c r="Q43" i="14"/>
  <c r="H12" i="14"/>
  <c r="E15" i="14"/>
  <c r="H28" i="14"/>
  <c r="E31" i="14"/>
  <c r="O41" i="14" a="1"/>
  <c r="O41" i="14" s="1"/>
  <c r="X48" i="14" s="1"/>
  <c r="S43" i="14"/>
  <c r="Q44" i="14"/>
  <c r="O45" i="14" a="1"/>
  <c r="O45" i="14" s="1"/>
  <c r="S47" i="14"/>
  <c r="Q48" i="14"/>
  <c r="E18" i="14"/>
  <c r="E26" i="14"/>
  <c r="H31" i="14"/>
  <c r="E34" i="14"/>
  <c r="T43" i="14"/>
  <c r="T47" i="14"/>
  <c r="Q41" i="14"/>
  <c r="S44" i="14"/>
  <c r="Q45" i="14"/>
  <c r="E24" i="14"/>
  <c r="H37" i="14"/>
  <c r="E19" i="14"/>
  <c r="S41" i="14"/>
  <c r="Q42" i="14"/>
  <c r="O43" i="14" a="1"/>
  <c r="O43" i="14" s="1"/>
  <c r="S45" i="14"/>
  <c r="O47" i="14" a="1"/>
  <c r="O47" i="14" s="1"/>
  <c r="S48" i="14"/>
  <c r="H13" i="14"/>
  <c r="E16" i="14"/>
  <c r="T44" i="14"/>
  <c r="T48" i="14"/>
  <c r="Q46" i="14"/>
  <c r="H11" i="14"/>
  <c r="E14" i="14"/>
  <c r="H19" i="14"/>
  <c r="E22" i="14"/>
  <c r="H27" i="14"/>
  <c r="E30" i="14"/>
  <c r="H35" i="14"/>
  <c r="E38" i="14"/>
  <c r="R42" i="14"/>
  <c r="R46" i="14"/>
  <c r="Q47" i="14"/>
  <c r="E12" i="14"/>
  <c r="H17" i="14"/>
  <c r="H33" i="14"/>
  <c r="T46" i="13"/>
  <c r="S43" i="13"/>
  <c r="Q44" i="13"/>
  <c r="S47" i="13"/>
  <c r="Q48" i="13"/>
  <c r="E26" i="13"/>
  <c r="E34" i="13"/>
  <c r="T43" i="13"/>
  <c r="R44" i="13"/>
  <c r="T47" i="13"/>
  <c r="R48" i="13"/>
  <c r="T48" i="13"/>
  <c r="H18" i="13"/>
  <c r="E21" i="13"/>
  <c r="H34" i="13"/>
  <c r="E37" i="13"/>
  <c r="Q41" i="13"/>
  <c r="S48" i="13"/>
  <c r="H37" i="13"/>
  <c r="R45" i="13"/>
  <c r="E11" i="13"/>
  <c r="H16" i="13"/>
  <c r="S41" i="13"/>
  <c r="Q42" i="13"/>
  <c r="O43" i="13" a="1"/>
  <c r="O43" i="13" s="1"/>
  <c r="S45" i="13"/>
  <c r="Q46" i="13"/>
  <c r="E13" i="13"/>
  <c r="E24" i="13"/>
  <c r="H11" i="13"/>
  <c r="H19" i="13"/>
  <c r="E22" i="13"/>
  <c r="H27" i="13"/>
  <c r="R42" i="13"/>
  <c r="R46" i="13"/>
  <c r="T42" i="13"/>
  <c r="S44" i="13"/>
  <c r="H13" i="13"/>
  <c r="T44" i="13"/>
  <c r="E25" i="13"/>
  <c r="H36" i="12"/>
  <c r="E34" i="12"/>
  <c r="T47" i="12"/>
  <c r="H34" i="12"/>
  <c r="Q41" i="12"/>
  <c r="S44" i="12"/>
  <c r="Q45" i="12"/>
  <c r="S48" i="12"/>
  <c r="H13" i="12"/>
  <c r="H21" i="12"/>
  <c r="E24" i="12"/>
  <c r="H29" i="12"/>
  <c r="E32" i="12"/>
  <c r="H37" i="12"/>
  <c r="R41" i="12"/>
  <c r="T44" i="12"/>
  <c r="R45" i="12"/>
  <c r="T48" i="12"/>
  <c r="Q48" i="12"/>
  <c r="R44" i="12"/>
  <c r="R48" i="12"/>
  <c r="E13" i="12"/>
  <c r="H18" i="12"/>
  <c r="E21" i="12"/>
  <c r="E37" i="12"/>
  <c r="H16" i="12"/>
  <c r="S41" i="12"/>
  <c r="Q42" i="12"/>
  <c r="O43" i="12" a="1"/>
  <c r="O43" i="12" s="1"/>
  <c r="X43" i="12" s="1"/>
  <c r="S45" i="12"/>
  <c r="Q46" i="12"/>
  <c r="H11" i="12"/>
  <c r="E14" i="12"/>
  <c r="H19" i="12"/>
  <c r="E22" i="12"/>
  <c r="H27" i="12"/>
  <c r="E30" i="12"/>
  <c r="H35" i="12"/>
  <c r="E38" i="12"/>
  <c r="R42" i="12"/>
  <c r="R46" i="12"/>
  <c r="E17" i="12"/>
  <c r="O44" i="12" a="1"/>
  <c r="O44" i="12" s="1"/>
  <c r="Q47" i="12"/>
  <c r="S43" i="12"/>
  <c r="E26" i="12"/>
  <c r="E25" i="12"/>
  <c r="E33" i="12"/>
  <c r="E12" i="12"/>
  <c r="H17" i="12"/>
  <c r="H33" i="12"/>
  <c r="E26" i="11"/>
  <c r="E21" i="11"/>
  <c r="Q41" i="11"/>
  <c r="S48" i="11"/>
  <c r="H13" i="11"/>
  <c r="E24" i="11"/>
  <c r="H37" i="11"/>
  <c r="R45" i="11"/>
  <c r="H11" i="11"/>
  <c r="E14" i="11"/>
  <c r="H19" i="11"/>
  <c r="E22" i="11"/>
  <c r="H27" i="11"/>
  <c r="E30" i="11"/>
  <c r="H35" i="11"/>
  <c r="E38" i="11"/>
  <c r="T41" i="11"/>
  <c r="R42" i="11"/>
  <c r="T45" i="11"/>
  <c r="R46" i="11"/>
  <c r="H18" i="11"/>
  <c r="H34" i="11"/>
  <c r="Q45" i="11"/>
  <c r="T44" i="11"/>
  <c r="E11" i="11"/>
  <c r="H16" i="11"/>
  <c r="S41" i="11"/>
  <c r="O43" i="11" a="1"/>
  <c r="O43" i="11" s="1"/>
  <c r="O47" i="11" a="1"/>
  <c r="O47" i="11" s="1"/>
  <c r="E17" i="11"/>
  <c r="E25" i="11"/>
  <c r="H30" i="11"/>
  <c r="E33" i="11"/>
  <c r="S42" i="11"/>
  <c r="O44" i="11" a="1"/>
  <c r="O44" i="11" s="1"/>
  <c r="S46" i="11"/>
  <c r="O48" i="11" a="1"/>
  <c r="O48" i="11" s="1"/>
  <c r="S43" i="11"/>
  <c r="Q44" i="11"/>
  <c r="Q48" i="11"/>
  <c r="E34" i="11"/>
  <c r="R44" i="11"/>
  <c r="R48" i="11"/>
  <c r="E13" i="11"/>
  <c r="Q42" i="11"/>
  <c r="Q46" i="11"/>
  <c r="E12" i="11"/>
  <c r="H17" i="11"/>
  <c r="H33" i="11"/>
  <c r="S43" i="10"/>
  <c r="Q44" i="10"/>
  <c r="S47" i="10"/>
  <c r="S44" i="10"/>
  <c r="Q45" i="10"/>
  <c r="S48" i="10"/>
  <c r="H37" i="10"/>
  <c r="R41" i="10"/>
  <c r="T44" i="10"/>
  <c r="R45" i="10"/>
  <c r="E23" i="10"/>
  <c r="H30" i="10"/>
  <c r="E34" i="10"/>
  <c r="S41" i="10"/>
  <c r="Q42" i="10"/>
  <c r="O43" i="10" a="1"/>
  <c r="O43" i="10" s="1"/>
  <c r="S45" i="10"/>
  <c r="Q46" i="10"/>
  <c r="O47" i="10" a="1"/>
  <c r="O47" i="10" s="1"/>
  <c r="T48" i="10"/>
  <c r="H12" i="10"/>
  <c r="H34" i="10"/>
  <c r="T41" i="10"/>
  <c r="R42" i="10"/>
  <c r="R46" i="10"/>
  <c r="Q48" i="10"/>
  <c r="E11" i="10"/>
  <c r="E21" i="10"/>
  <c r="H29" i="10"/>
  <c r="E37" i="10"/>
  <c r="H16" i="10"/>
  <c r="H27" i="10"/>
  <c r="Q43" i="10"/>
  <c r="O44" i="10" a="1"/>
  <c r="O44" i="10" s="1"/>
  <c r="S46" i="10"/>
  <c r="Q47" i="10"/>
  <c r="O48" i="10" a="1"/>
  <c r="O48" i="10" s="1"/>
  <c r="E13" i="10"/>
  <c r="E24" i="10"/>
  <c r="O45" i="9" a="1"/>
  <c r="O45" i="9" s="1"/>
  <c r="H17" i="9"/>
  <c r="E21" i="9"/>
  <c r="H29" i="9"/>
  <c r="T43" i="9"/>
  <c r="R44" i="9"/>
  <c r="R48" i="9"/>
  <c r="H21" i="9"/>
  <c r="E37" i="9"/>
  <c r="Q41" i="9"/>
  <c r="O42" i="9" a="1"/>
  <c r="O42" i="9" s="1"/>
  <c r="X42" i="9" s="1"/>
  <c r="S44" i="9"/>
  <c r="Q45" i="9"/>
  <c r="O46" i="9" a="1"/>
  <c r="O46" i="9" s="1"/>
  <c r="S48" i="9"/>
  <c r="S43" i="9"/>
  <c r="Q44" i="9"/>
  <c r="S47" i="9"/>
  <c r="Q48" i="9"/>
  <c r="E11" i="9"/>
  <c r="T47" i="9"/>
  <c r="H15" i="9"/>
  <c r="H25" i="9"/>
  <c r="E30" i="9"/>
  <c r="R41" i="9"/>
  <c r="T44" i="9"/>
  <c r="R45" i="9"/>
  <c r="Q42" i="9"/>
  <c r="H23" i="9"/>
  <c r="E27" i="9"/>
  <c r="E38" i="9"/>
  <c r="H16" i="9"/>
  <c r="E20" i="9"/>
  <c r="S42" i="9"/>
  <c r="Q43" i="9"/>
  <c r="S46" i="9"/>
  <c r="Q47" i="9"/>
  <c r="Q46" i="9"/>
  <c r="H34" i="9"/>
  <c r="E13" i="9"/>
  <c r="E21" i="8"/>
  <c r="T43" i="8"/>
  <c r="R44" i="8"/>
  <c r="R48" i="8"/>
  <c r="Q48" i="8"/>
  <c r="H29" i="8"/>
  <c r="E37" i="8"/>
  <c r="S48" i="8"/>
  <c r="H37" i="8"/>
  <c r="R41" i="8"/>
  <c r="T44" i="8"/>
  <c r="R45" i="8"/>
  <c r="Q45" i="8"/>
  <c r="E23" i="8"/>
  <c r="H30" i="8"/>
  <c r="E34" i="8"/>
  <c r="S41" i="8"/>
  <c r="O43" i="8" a="1"/>
  <c r="O43" i="8" s="1"/>
  <c r="S45" i="8"/>
  <c r="Q46" i="8"/>
  <c r="O47" i="8" a="1"/>
  <c r="O47" i="8" s="1"/>
  <c r="Q44" i="8"/>
  <c r="H12" i="8"/>
  <c r="H23" i="8"/>
  <c r="H34" i="8"/>
  <c r="T41" i="8"/>
  <c r="R42" i="8"/>
  <c r="R46" i="8"/>
  <c r="S44" i="8"/>
  <c r="H16" i="8"/>
  <c r="H27" i="8"/>
  <c r="E13" i="8"/>
  <c r="E24" i="8"/>
  <c r="X41" i="7"/>
  <c r="E34" i="7"/>
  <c r="T43" i="7"/>
  <c r="R44" i="7"/>
  <c r="T47" i="7"/>
  <c r="R48" i="7"/>
  <c r="E26" i="7"/>
  <c r="H18" i="7"/>
  <c r="H34" i="7"/>
  <c r="E37" i="7"/>
  <c r="S44" i="7"/>
  <c r="Q45" i="7"/>
  <c r="S48" i="7"/>
  <c r="H13" i="7"/>
  <c r="H21" i="7"/>
  <c r="E24" i="7"/>
  <c r="H29" i="7"/>
  <c r="E32" i="7"/>
  <c r="H37" i="7"/>
  <c r="R41" i="7"/>
  <c r="T44" i="7"/>
  <c r="R45" i="7"/>
  <c r="T48" i="7"/>
  <c r="S47" i="7"/>
  <c r="E13" i="7"/>
  <c r="E21" i="7"/>
  <c r="S41" i="7"/>
  <c r="Q42" i="7"/>
  <c r="S45" i="7"/>
  <c r="Q46" i="7"/>
  <c r="H11" i="7"/>
  <c r="E14" i="7"/>
  <c r="H19" i="7"/>
  <c r="E22" i="7"/>
  <c r="H27" i="7"/>
  <c r="E30" i="7"/>
  <c r="H35" i="7"/>
  <c r="E38" i="7"/>
  <c r="R42" i="7"/>
  <c r="R46" i="7"/>
  <c r="Q44" i="7"/>
  <c r="E17" i="7"/>
  <c r="E25" i="7"/>
  <c r="E33" i="7"/>
  <c r="E12" i="7"/>
  <c r="H17" i="7"/>
  <c r="H33" i="7"/>
  <c r="H37" i="6"/>
  <c r="H13" i="6"/>
  <c r="E17" i="6"/>
  <c r="S43" i="6"/>
  <c r="Q44" i="6"/>
  <c r="S47" i="6"/>
  <c r="Q48" i="6"/>
  <c r="Q41" i="6"/>
  <c r="E33" i="6"/>
  <c r="T43" i="6"/>
  <c r="R44" i="6"/>
  <c r="T47" i="6"/>
  <c r="R48" i="6"/>
  <c r="T48" i="6"/>
  <c r="S41" i="6"/>
  <c r="Q42" i="6"/>
  <c r="O43" i="6" a="1"/>
  <c r="O43" i="6" s="1"/>
  <c r="X43" i="6" s="1"/>
  <c r="S45" i="6"/>
  <c r="Q46" i="6"/>
  <c r="O47" i="6" a="1"/>
  <c r="O47" i="6" s="1"/>
  <c r="R45" i="6"/>
  <c r="T41" i="6"/>
  <c r="R42" i="6"/>
  <c r="T45" i="6"/>
  <c r="R46" i="6"/>
  <c r="H27" i="6"/>
  <c r="S42" i="6"/>
  <c r="S46" i="6"/>
  <c r="E24" i="6"/>
  <c r="X43" i="5"/>
  <c r="X48" i="5"/>
  <c r="X42" i="5"/>
  <c r="H36" i="5"/>
  <c r="S48" i="5"/>
  <c r="H13" i="5"/>
  <c r="E24" i="5"/>
  <c r="H29" i="5"/>
  <c r="H37" i="5"/>
  <c r="R41" i="5"/>
  <c r="T44" i="5"/>
  <c r="R45" i="5"/>
  <c r="T48" i="5"/>
  <c r="E26" i="5"/>
  <c r="T43" i="5"/>
  <c r="E13" i="5"/>
  <c r="Q41" i="5"/>
  <c r="E11" i="5"/>
  <c r="H16" i="5"/>
  <c r="S41" i="5"/>
  <c r="S45" i="5"/>
  <c r="O47" i="5" a="1"/>
  <c r="O47" i="5" s="1"/>
  <c r="X47" i="5" s="1"/>
  <c r="E34" i="5"/>
  <c r="R44" i="5"/>
  <c r="R48" i="5"/>
  <c r="E21" i="5"/>
  <c r="S44" i="5"/>
  <c r="H11" i="5"/>
  <c r="H19" i="5"/>
  <c r="E22" i="5"/>
  <c r="H27" i="5"/>
  <c r="T45" i="5"/>
  <c r="R46" i="5"/>
  <c r="S47" i="5"/>
  <c r="H34" i="5"/>
  <c r="E17" i="5"/>
  <c r="E25" i="5"/>
  <c r="H30" i="5"/>
  <c r="E33" i="5"/>
  <c r="S42" i="5"/>
  <c r="Q43" i="5"/>
  <c r="H33" i="5"/>
  <c r="X48" i="15" l="1"/>
  <c r="X46" i="17"/>
  <c r="X43" i="8"/>
  <c r="X47" i="15"/>
  <c r="X43" i="21"/>
  <c r="X48" i="6"/>
  <c r="X45" i="15"/>
  <c r="X47" i="19"/>
  <c r="X43" i="7"/>
  <c r="X45" i="6"/>
  <c r="X44" i="6"/>
  <c r="X42" i="7"/>
  <c r="X46" i="15"/>
  <c r="X47" i="26"/>
  <c r="X41" i="29"/>
  <c r="X47" i="30"/>
  <c r="X44" i="7"/>
  <c r="X46" i="6"/>
  <c r="X48" i="7"/>
  <c r="X41" i="15"/>
  <c r="X47" i="25"/>
  <c r="X44" i="30"/>
  <c r="X45" i="7"/>
  <c r="X47" i="6"/>
  <c r="X43" i="13"/>
  <c r="X45" i="14"/>
  <c r="X44" i="15"/>
  <c r="X42" i="15"/>
  <c r="X47" i="7"/>
  <c r="X48" i="10"/>
  <c r="X48" i="11"/>
  <c r="X47" i="11"/>
  <c r="X42" i="16"/>
  <c r="X46" i="27"/>
  <c r="X41" i="30"/>
  <c r="X46" i="30"/>
  <c r="X45" i="30"/>
  <c r="X43" i="30"/>
  <c r="X42" i="30"/>
  <c r="X42" i="29"/>
  <c r="X43" i="29"/>
  <c r="X45" i="29"/>
  <c r="X46" i="29"/>
  <c r="X44" i="29"/>
  <c r="X42" i="28"/>
  <c r="X43" i="28"/>
  <c r="X44" i="28"/>
  <c r="X47" i="28"/>
  <c r="X41" i="28"/>
  <c r="X45" i="28"/>
  <c r="X47" i="27"/>
  <c r="X41" i="27"/>
  <c r="X42" i="27"/>
  <c r="X43" i="27"/>
  <c r="X43" i="26"/>
  <c r="X44" i="26"/>
  <c r="X45" i="26"/>
  <c r="X41" i="26"/>
  <c r="X42" i="26"/>
  <c r="X46" i="26"/>
  <c r="X44" i="25"/>
  <c r="X43" i="25"/>
  <c r="X45" i="25"/>
  <c r="X46" i="25"/>
  <c r="X42" i="25"/>
  <c r="X44" i="22"/>
  <c r="X41" i="22"/>
  <c r="X42" i="22"/>
  <c r="X46" i="22"/>
  <c r="X47" i="22"/>
  <c r="X45" i="22"/>
  <c r="X47" i="21"/>
  <c r="X41" i="21"/>
  <c r="X46" i="21"/>
  <c r="X45" i="21"/>
  <c r="X44" i="21"/>
  <c r="X42" i="21"/>
  <c r="X42" i="20"/>
  <c r="X41" i="20"/>
  <c r="X46" i="20"/>
  <c r="X47" i="20"/>
  <c r="X45" i="20"/>
  <c r="X44" i="20"/>
  <c r="X43" i="19"/>
  <c r="X41" i="19"/>
  <c r="X46" i="19"/>
  <c r="X44" i="19"/>
  <c r="X45" i="19"/>
  <c r="X42" i="19"/>
  <c r="X48" i="17"/>
  <c r="X44" i="17"/>
  <c r="X47" i="17"/>
  <c r="X45" i="17"/>
  <c r="X42" i="17"/>
  <c r="X48" i="16"/>
  <c r="X47" i="16"/>
  <c r="X41" i="16"/>
  <c r="X46" i="16"/>
  <c r="X45" i="16"/>
  <c r="X41" i="14"/>
  <c r="X46" i="14"/>
  <c r="X44" i="14"/>
  <c r="X43" i="14"/>
  <c r="X47" i="14"/>
  <c r="X42" i="14"/>
  <c r="X48" i="13"/>
  <c r="X41" i="13"/>
  <c r="X46" i="13"/>
  <c r="X45" i="13"/>
  <c r="X47" i="13"/>
  <c r="X42" i="13"/>
  <c r="X44" i="13"/>
  <c r="X48" i="12"/>
  <c r="X42" i="12"/>
  <c r="X47" i="12"/>
  <c r="X41" i="12"/>
  <c r="X45" i="12"/>
  <c r="X44" i="12"/>
  <c r="X46" i="12"/>
  <c r="X44" i="11"/>
  <c r="X43" i="11"/>
  <c r="X42" i="11"/>
  <c r="X41" i="11"/>
  <c r="X45" i="11"/>
  <c r="X46" i="11"/>
  <c r="X45" i="10"/>
  <c r="X43" i="10"/>
  <c r="X42" i="10"/>
  <c r="X47" i="10"/>
  <c r="X41" i="10"/>
  <c r="X44" i="10"/>
  <c r="X46" i="10"/>
  <c r="X45" i="9"/>
  <c r="X48" i="9"/>
  <c r="X46" i="9"/>
  <c r="X44" i="9"/>
  <c r="X41" i="9"/>
  <c r="X47" i="9"/>
  <c r="X43" i="9"/>
  <c r="X48" i="8"/>
  <c r="X42" i="8"/>
  <c r="X41" i="8"/>
  <c r="X47" i="8"/>
  <c r="X46" i="8"/>
  <c r="X45" i="8"/>
  <c r="X44" i="8"/>
  <c r="X41" i="6"/>
  <c r="X42" i="6"/>
  <c r="X41" i="5"/>
  <c r="X45" i="5"/>
  <c r="X46" i="5"/>
  <c r="X4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<sst xmlns="http://schemas.openxmlformats.org/spreadsheetml/2006/main" count="3360" uniqueCount="371">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</sst>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37DE8047-FBB6-4646-B9BE-FE78F8EBA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9130" y="19259"/>
          <a:ext cx="849630" cy="8682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288797-8458-4A1F-BC62-1D274B9EF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39890" y="9124"/>
          <a:ext cx="904875" cy="812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C520E9F-5A4C-47A1-BA93-038B1CDC40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5EA79F0-61AD-441F-8164-8619BA415F6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88A0EC4-F6A4-4764-93CE-54B1F539D0C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0112446-8B14-4DF7-8A90-FE87249C7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D6A9AA4-BDAC-40AE-BBEF-1E0583D03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BADA717-2EF4-4265-B8FC-CBF6346C1CE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417729F-3068-4637-8B76-E2D69423080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6145A9D-EB66-4D94-9024-E6A9E0916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2E64A46-1622-4771-B8AB-231CBB76F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46709AC-F64A-4DB7-9D5F-FD78975A39AD}"/>
            </a:ext>
          </a:extLst>
        </xdr:cNvPr>
        <xdr:cNvSpPr/>
      </xdr:nvSpPr>
      <xdr:spPr bwMode="auto">
        <a:xfrm>
          <a:off x="3535680" y="0"/>
          <a:ext cx="2105660" cy="93218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C21F1C6-518E-4640-B5A1-45302A6FBD00}"/>
            </a:ext>
          </a:extLst>
        </xdr:cNvPr>
        <xdr:cNvSpPr/>
      </xdr:nvSpPr>
      <xdr:spPr bwMode="auto">
        <a:xfrm>
          <a:off x="3680460" y="33020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990B3BC-E4CF-47FA-AE26-7767B3DD3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21665" cy="61404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5632B18-F651-4B83-ABE5-4E1B52E7FB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B634F33-B975-48E4-9819-419F62465243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5146391-E3FF-4179-A246-B2F7050AB87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44B0BC0-D111-4AAC-8EF0-434EE4578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BCDDD31-4730-4102-85CE-F82B331105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8D5D492-CA62-4E4E-9378-0CDBE791609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C9A52C8-A57E-4F98-8937-AC9A34A276B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7EA1BDC-9D4C-4730-A959-D464D14B3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ED716AC-F9DA-48AF-BDA4-3B8CB3B0FF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9F53670-69EF-4350-887E-FBBE6DF7E59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DBEF0EF-32B6-4807-8414-FBDECE6F6AE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5817E89-7B79-4940-BBC5-0B0FFF62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A0021FF-97A5-4F2E-AF17-40ABA5628B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B0BDB4B-2943-40DE-A84E-83EB78BA41D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726F425-ED49-43F3-A174-CC147F91CF3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B772D66-1C4B-45D1-B311-0C66772C0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C7A68C1-0E1B-4749-BAA4-04F14A490A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F4E9AEE-2C97-4098-A102-4502A717B28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3403C45-FED5-4490-B556-F8A410B1D3E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23D6E2E-0FD5-420E-8F8F-3212B4A2A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4F4C746-1F17-4E24-9C0D-C0CA2D7934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578075-ECDC-4E75-8A6B-75440086FCA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39A071C-64B9-465E-AD7E-9E9A8CE176C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D0832B7-525D-430E-AABC-E63FD5182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DE60EB-E242-4966-88C9-137667588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A00E505-1574-40A8-899D-80B577B657B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F798F04-7675-4765-A9BB-645B292DA7F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41DB915-B343-4FA8-AB6C-52E8ADBA4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DAA83E6-6A7B-4116-B674-815294CCD8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4AD056-A530-42E2-95BC-7CA03F59FB0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24AAF77-8162-49A9-879F-46F516501E6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6793971-6F16-4120-8755-3571CB0C5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DD5C9C2-64A5-460F-84B0-69B7A4E66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349717B-FADE-4CC6-8BEF-EE44B69A86A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F9C3C21-8BE7-4C42-973F-7D039F8F1C1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8DCB9BF-D5C0-4387-B0D2-2BAB2A54F4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708346A-AF42-41E6-9AB1-E7E3ADB7D2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F34A18C-8E00-4812-875C-FFDC6F45F44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7CB2A53-2663-4618-A68F-7E828EC660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93FA838-D619-4D18-9F8B-F14D3A210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0A800E8-CBEE-49FB-8BD8-FEF06781E0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5CB01BB-0A6C-40D1-A34C-5FC6C7DB6C7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29DB1DC-6DF4-4DE6-BDDA-255B9AE692B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8031350-A7F3-4765-BE8E-8DA176936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1C72916-6161-4C19-ABC0-0FE058B552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160CD28-A9F0-4A65-A3BA-8FE5F6E3989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6ED3F8C-9395-4F20-BEB9-F666F04F291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964F9E5-EBA6-4C0B-B913-2CBC71D7B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0500048-D01C-4557-841A-7FA065DC4B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B8967C6-7BF9-4CDA-90A0-E695FDC478A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E41AF2B-6F28-475C-9B60-905445ED272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083F638-6BB5-40B1-9F39-3FA3D8393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BE46FC1-E716-47BC-9AB6-63051D96D4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2DDBFBA-9740-440C-9D6A-8C5E002F854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46488B9-CD11-45A9-9A23-53942D7B7FA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1184A88-3A57-4232-BC78-61049EE37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A8DE7C2-948B-45B3-B85F-400F21B69F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F7F089C-BA77-4C60-B178-2948152AF82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496AE02-1E41-4C5F-AC88-9850E6AD94F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CC0841E-FF41-4246-945A-ED9B85856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656122-5092-4FE9-A73F-EF18C7CD34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6F1DC6E-9CE8-4578-8C3B-4E810938990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05EC07F-B8F6-4F24-BFFD-05C7E561C3B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CD1E9FA-5424-4B77-93AB-1F12A4221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192B684-AAAB-4DAF-A485-41137C67F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A7F34D1-714F-4EC8-8008-9D70C2003FE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24550D4-9D78-45CA-9D3D-AE309B9F2CF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BC2DF0-1832-495E-A28D-CA5F8C823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45A9EBF-DA28-419D-A5E9-7D82C9A76E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A2564CE-B3C7-4382-A41B-6C7F0086970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FB4E0B4-B287-499E-AD15-56359F36AA2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EB074F2-2B58-44E0-9D8D-5B54CBD99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A452F08-8650-406E-BA07-03DE719D5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B86E4B7-3D17-4D4B-86D3-129DA65B66A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F526964-39D4-49F4-AD2A-47EEC3F740E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16D731D-AA54-4DD5-B8D7-7AFFC728E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A2B7675-8B7D-43F7-B6B0-A5A78F731E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DFD1392-8FA0-4AB6-BCAC-847AE02AEF5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220BE28-8AAB-4624-99A9-D1303E567B5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452468A-49EC-4927-8777-99E100226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4B9F05D-19F6-4B9A-B2B7-D7EFC63DE7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3426847-6C75-4B21-9C2D-AD1AA0B9746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BFE0C4D-4B0D-499E-BC1C-8C970DC38B3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755DC21-7073-4A22-9BD2-E0CF105DE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A794184-5546-4096-B77D-2E29A82B54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585CBFC-A089-430F-B856-56679B924C3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FA6A8F5-882B-4319-B214-3DA51098FA7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B7031E-9501-4464-8035-F8C8CDD4C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EFD6E18-3D6F-45B7-99C2-6EC83EF3ED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F3E1118-33E1-43CE-841F-E62365E3569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FDE2CFB-6C90-47FF-A759-D0C5C52D155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A08A574-C5C9-4E8D-92C2-C15761C19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B9C7321-139E-4A04-8D3B-EDE6825EF5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FBF8E7-52E3-4552-BD98-4670277EF4C0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E9D6F31-9027-4A61-9CEA-01E432E38D54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1411F46-A045-4C46-B4DC-BFB19D8DC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5353" y="275789"/>
          <a:ext cx="611806" cy="60944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FB5C514-84EE-4843-9FFB-EB97BC12CD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50528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EFF4536-60D0-4B1A-842E-5AC645587A3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FCF6597-952F-4743-8D80-2D3DA5D9DBA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253365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94404C1-9292-459C-8AFF-4EB927669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6745" cy="630555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6EF2F87A-F2EC-4927-A797-11E1236C24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8289" y="0"/>
          <a:ext cx="968712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15626E1-C8A9-43A3-9540-8F8A03FB77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8EF466D-4D5F-43C5-BEC6-8D6496CD91FE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B1AE210-629E-4EFB-A558-AD9BCBF7E690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256903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63ECAFA-D387-43A3-81E9-89BF07F88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5929" cy="6125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95D54-0DEC-473C-981C-289A58B4B5C4}">
  <sheetPr codeName="Blad1"/>
  <dimension ref="A3:AK69"/>
  <sheetViews>
    <sheetView tabSelected="1" topLeftCell="A3" zoomScale="96" zoomScaleNormal="96" workbookViewId="0">
      <selection activeCell="U7" sqref="U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3D002-C2FB-4E03-821B-5E0305365F4C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2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 t="shared" si="0"/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71FA6-88DC-408A-8DE9-727A8F86274D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9D6AB-FA27-4704-B7EB-DD8EF2DA9E63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6F4CE-05B8-433E-88E8-49AD728A1FAB}">
  <sheetPr codeName="Blad3"/>
  <dimension ref="A1:X48"/>
  <sheetViews>
    <sheetView topLeftCell="A26" zoomScaleNormal="100" workbookViewId="0">
      <selection activeCell="J16" sqref="J16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33</v>
      </c>
      <c r="K11" s="110" t="s">
        <v>294</v>
      </c>
      <c r="L11" s="111">
        <v>2</v>
      </c>
      <c r="M11" s="112" t="str">
        <f>Scheids!$D$6</f>
        <v>Ruud van Oosten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11</v>
      </c>
      <c r="K12" s="124" t="s">
        <v>294</v>
      </c>
      <c r="L12" s="125">
        <v>2</v>
      </c>
      <c r="M12" s="126" t="str">
        <f>Scheids!$D$6</f>
        <v>Ruud van Oosten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2</v>
      </c>
      <c r="K13" s="124" t="s">
        <v>294</v>
      </c>
      <c r="L13" s="125">
        <v>2</v>
      </c>
      <c r="M13" s="126" t="str">
        <f>Scheids!$D$6</f>
        <v>Ruud van Oosten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1</v>
      </c>
      <c r="K14" s="124" t="s">
        <v>294</v>
      </c>
      <c r="L14" s="125">
        <v>2</v>
      </c>
      <c r="M14" s="126" t="str">
        <f>Scheids!$F$6</f>
        <v>Guus Heemskerk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1</v>
      </c>
      <c r="K15" s="124" t="s">
        <v>294</v>
      </c>
      <c r="L15" s="125">
        <v>2</v>
      </c>
      <c r="M15" s="126" t="str">
        <f>Scheids!$F$6</f>
        <v>Guus Heemskerk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1</v>
      </c>
      <c r="K16" s="124" t="s">
        <v>294</v>
      </c>
      <c r="L16" s="125">
        <v>2</v>
      </c>
      <c r="M16" s="126" t="str">
        <f>Scheids!$F$6</f>
        <v>Guus Heemskerk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1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>
        <v>1</v>
      </c>
      <c r="K18" s="124" t="s">
        <v>294</v>
      </c>
      <c r="L18" s="125">
        <v>2</v>
      </c>
      <c r="M18" s="126" t="str">
        <f>Scheids!$D$6</f>
        <v>Ruud van Oosten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>
        <v>1</v>
      </c>
      <c r="K19" s="124" t="s">
        <v>294</v>
      </c>
      <c r="L19" s="125">
        <v>2</v>
      </c>
      <c r="M19" s="126" t="str">
        <f>Scheids!$D$6</f>
        <v>Ruud van Oosten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>
        <v>1</v>
      </c>
      <c r="K20" s="124" t="s">
        <v>294</v>
      </c>
      <c r="L20" s="125">
        <v>2</v>
      </c>
      <c r="M20" s="126" t="str">
        <f>Scheids!$F$6</f>
        <v>Guus Heemskerk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>
        <v>1</v>
      </c>
      <c r="K21" s="124" t="s">
        <v>294</v>
      </c>
      <c r="L21" s="125">
        <v>2</v>
      </c>
      <c r="M21" s="126" t="str">
        <f>Scheids!$F$6</f>
        <v>Guus Heemskerk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>
        <v>1</v>
      </c>
      <c r="K22" s="124" t="s">
        <v>294</v>
      </c>
      <c r="L22" s="125">
        <v>2</v>
      </c>
      <c r="M22" s="126" t="str">
        <f>Scheids!$F$6</f>
        <v>Guus Heemskerk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>
        <v>2</v>
      </c>
      <c r="K23" s="124" t="s">
        <v>294</v>
      </c>
      <c r="L23" s="125">
        <v>2</v>
      </c>
      <c r="M23" s="126" t="str">
        <f>Scheids!$D$6</f>
        <v>Ruud van Oosten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>
        <v>4</v>
      </c>
      <c r="K24" s="124" t="s">
        <v>294</v>
      </c>
      <c r="L24" s="125">
        <v>2</v>
      </c>
      <c r="M24" s="126" t="str">
        <f>Scheids!$D$6</f>
        <v>Ruud van Oosten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>
        <v>1</v>
      </c>
      <c r="K25" s="124" t="s">
        <v>294</v>
      </c>
      <c r="L25" s="125">
        <v>2</v>
      </c>
      <c r="M25" s="126" t="str">
        <f>Scheids!$D$6</f>
        <v>Ruud van Oosten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>
        <v>1</v>
      </c>
      <c r="K26" s="124" t="s">
        <v>294</v>
      </c>
      <c r="L26" s="125">
        <v>2</v>
      </c>
      <c r="M26" s="126" t="str">
        <f>Scheids!$F$6</f>
        <v>Guus Heemskerk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>
        <v>1</v>
      </c>
      <c r="K27" s="124" t="s">
        <v>294</v>
      </c>
      <c r="L27" s="125">
        <v>2</v>
      </c>
      <c r="M27" s="126" t="str">
        <f>Scheids!$F$6</f>
        <v>Guus Heemskerk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>
        <v>1</v>
      </c>
      <c r="K28" s="124" t="s">
        <v>294</v>
      </c>
      <c r="L28" s="125">
        <v>2</v>
      </c>
      <c r="M28" s="126" t="str">
        <f>Scheids!$F$6</f>
        <v>Guus Heemskerk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>
        <v>1</v>
      </c>
      <c r="K29" s="124" t="s">
        <v>294</v>
      </c>
      <c r="L29" s="125">
        <v>2</v>
      </c>
      <c r="M29" s="126" t="str">
        <f>Scheids!$D$6</f>
        <v>Ruud van Oosten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>
        <v>4</v>
      </c>
      <c r="K30" s="124" t="s">
        <v>294</v>
      </c>
      <c r="L30" s="125">
        <v>2</v>
      </c>
      <c r="M30" s="126" t="str">
        <f>Scheids!$D$6</f>
        <v>Ruud van Oosten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>
        <v>1</v>
      </c>
      <c r="K31" s="124" t="s">
        <v>294</v>
      </c>
      <c r="L31" s="125">
        <v>2</v>
      </c>
      <c r="M31" s="126" t="str">
        <f>Scheids!$D$6</f>
        <v>Ruud van Oosten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>
        <v>1</v>
      </c>
      <c r="K32" s="124" t="s">
        <v>294</v>
      </c>
      <c r="L32" s="125">
        <v>22</v>
      </c>
      <c r="M32" s="126" t="str">
        <f>Scheids!$F$6</f>
        <v>Guus Heemskerk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>
        <v>1</v>
      </c>
      <c r="K33" s="124" t="s">
        <v>294</v>
      </c>
      <c r="L33" s="125">
        <v>2</v>
      </c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>
        <v>1</v>
      </c>
      <c r="K34" s="124" t="s">
        <v>294</v>
      </c>
      <c r="L34" s="125">
        <v>2</v>
      </c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>
        <v>3</v>
      </c>
      <c r="K35" s="124" t="s">
        <v>294</v>
      </c>
      <c r="L35" s="125">
        <v>2</v>
      </c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>
        <v>1</v>
      </c>
      <c r="K36" s="124" t="s">
        <v>294</v>
      </c>
      <c r="L36" s="125">
        <v>2</v>
      </c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>
        <v>4</v>
      </c>
      <c r="K37" s="124" t="s">
        <v>294</v>
      </c>
      <c r="L37" s="125">
        <v>2</v>
      </c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>
        <v>1</v>
      </c>
      <c r="K38" s="139" t="s">
        <v>294</v>
      </c>
      <c r="L38" s="140">
        <v>2</v>
      </c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13</v>
      </c>
      <c r="Q41" s="152">
        <f t="shared" ref="Q41:Q48" si="0">COUNT(E41:N41)</f>
        <v>7</v>
      </c>
      <c r="R41" s="152">
        <f>COUNTIFS(E41:N41,3)</f>
        <v>4</v>
      </c>
      <c r="S41" s="152">
        <f>COUNTIFS(E41:N41,0)</f>
        <v>2</v>
      </c>
      <c r="T41" s="152">
        <f>COUNTIFS(E41:N41,1)</f>
        <v>1</v>
      </c>
      <c r="U41" s="152">
        <f>J11+L18+J21+J23+L29+J34+L36</f>
        <v>43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3</v>
      </c>
      <c r="Q42" s="152">
        <f t="shared" si="0"/>
        <v>7</v>
      </c>
      <c r="R42" s="152">
        <f t="shared" ref="R42:R48" si="2">COUNTIFS(E42:N42,3)</f>
        <v>1</v>
      </c>
      <c r="S42" s="152">
        <f t="shared" ref="S42:S48" si="3">COUNTIFS(E42:N42,0)</f>
        <v>6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46</v>
      </c>
      <c r="W42" s="152">
        <f>R11+Q15+R19+Q25+Q28+Q33+R37</f>
        <v>0</v>
      </c>
      <c r="X42" s="129">
        <f t="shared" si="1"/>
        <v>8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0</v>
      </c>
      <c r="O43" s="157" cm="1">
        <f t="array" ref="O43">IF(SUMPRODUCT(--(E43:N43&lt;&gt;""))&lt;&gt;0,SUM(E43:N43),"")</f>
        <v>7</v>
      </c>
      <c r="Q43" s="152">
        <f t="shared" si="0"/>
        <v>7</v>
      </c>
      <c r="R43" s="152">
        <f t="shared" si="2"/>
        <v>2</v>
      </c>
      <c r="S43" s="152">
        <f t="shared" si="3"/>
        <v>4</v>
      </c>
      <c r="T43" s="152">
        <f t="shared" si="4"/>
        <v>1</v>
      </c>
      <c r="U43" s="152">
        <f>J12+L15+J20+L23+J27+J32+L35</f>
        <v>20</v>
      </c>
      <c r="V43" s="152">
        <f>L12+J15+L20+J23+L27+L32+J35</f>
        <v>34</v>
      </c>
      <c r="W43" s="152">
        <f>Q12+R15+Q20+R23+Q27+Q32+R35</f>
        <v>2</v>
      </c>
      <c r="X43" s="129">
        <f t="shared" si="1"/>
        <v>6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58"/>
      <c r="M44" s="156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7</v>
      </c>
      <c r="R44" s="152">
        <f t="shared" si="2"/>
        <v>2</v>
      </c>
      <c r="S44" s="152">
        <f t="shared" si="3"/>
        <v>5</v>
      </c>
      <c r="T44" s="152">
        <f t="shared" si="4"/>
        <v>0</v>
      </c>
      <c r="U44" s="152">
        <f>L12+J16+J19+L24+J29+L31+L38</f>
        <v>11</v>
      </c>
      <c r="V44" s="152">
        <f>J12+L16+L19+J24+L29+J31+J38</f>
        <v>23</v>
      </c>
      <c r="W44" s="152">
        <f>R12+Q16+Q19+R24+Q29+R31+R38</f>
        <v>1</v>
      </c>
      <c r="X44" s="129">
        <f t="shared" si="1"/>
        <v>7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5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34</v>
      </c>
      <c r="V47" s="152">
        <f>L14+J17+J21+J25+L30+J32+L38</f>
        <v>10</v>
      </c>
      <c r="W47" s="152">
        <f>Q14+R17+R21+R25+Q30+R32+Q38</f>
        <v>1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007BB-2E5D-4154-BFF0-78EF6994F41A}">
  <sheetPr codeName="Blad4"/>
  <dimension ref="A1:X48"/>
  <sheetViews>
    <sheetView topLeftCell="A21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>
        <v>1</v>
      </c>
      <c r="K11" s="110" t="s">
        <v>294</v>
      </c>
      <c r="L11" s="111">
        <v>2</v>
      </c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1</v>
      </c>
      <c r="K12" s="124" t="s">
        <v>294</v>
      </c>
      <c r="L12" s="125">
        <v>2</v>
      </c>
      <c r="M12" s="126" t="str">
        <f>Scheids!$D$7</f>
        <v>Marcel de Letter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>
        <v>2</v>
      </c>
      <c r="K13" s="124" t="s">
        <v>294</v>
      </c>
      <c r="L13" s="125">
        <v>2</v>
      </c>
      <c r="M13" s="126" t="str">
        <f>Scheids!$D$7</f>
        <v>Marcel de Letter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1</v>
      </c>
      <c r="K15" s="124" t="s">
        <v>294</v>
      </c>
      <c r="L15" s="125">
        <v>2</v>
      </c>
      <c r="M15" s="126" t="str">
        <f>Scheids!$F$7</f>
        <v>Gerard Zoet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2</v>
      </c>
      <c r="M16" s="126" t="str">
        <f>Scheids!$F$7</f>
        <v>Gerard Zoet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1</v>
      </c>
      <c r="K17" s="124" t="s">
        <v>294</v>
      </c>
      <c r="L17" s="125">
        <v>2</v>
      </c>
      <c r="M17" s="126" t="str">
        <f>Scheids!$F$7</f>
        <v>Gerard Zoet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>
        <v>1</v>
      </c>
      <c r="K19" s="124" t="s">
        <v>294</v>
      </c>
      <c r="L19" s="125">
        <v>2</v>
      </c>
      <c r="M19" s="126" t="str">
        <f>Scheids!$D$7</f>
        <v>Marcel de Letter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>
        <v>1</v>
      </c>
      <c r="K20" s="124" t="s">
        <v>294</v>
      </c>
      <c r="L20" s="125">
        <v>2</v>
      </c>
      <c r="M20" s="126" t="str">
        <f>Scheids!$D$7</f>
        <v>Marcel de Letter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>
        <v>1</v>
      </c>
      <c r="K21" s="124" t="s">
        <v>294</v>
      </c>
      <c r="L21" s="125">
        <v>2</v>
      </c>
      <c r="M21" s="126" t="str">
        <f>Scheids!$D$7</f>
        <v>Marcel de Letter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>
        <v>2</v>
      </c>
      <c r="K23" s="124" t="s">
        <v>294</v>
      </c>
      <c r="L23" s="125">
        <v>2</v>
      </c>
      <c r="M23" s="126" t="str">
        <f>Scheids!$F$7</f>
        <v>Gerard Zoet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>
        <v>4</v>
      </c>
      <c r="K24" s="124" t="s">
        <v>294</v>
      </c>
      <c r="L24" s="125">
        <v>2</v>
      </c>
      <c r="M24" s="126" t="str">
        <f>Scheids!$F$7</f>
        <v>Gerard Zoet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>
        <v>1</v>
      </c>
      <c r="K25" s="124" t="s">
        <v>294</v>
      </c>
      <c r="L25" s="125">
        <v>2</v>
      </c>
      <c r="M25" s="126" t="str">
        <f>Scheids!$F$7</f>
        <v>Gerard Zoet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>
        <v>1</v>
      </c>
      <c r="K27" s="124" t="s">
        <v>294</v>
      </c>
      <c r="L27" s="125">
        <v>2</v>
      </c>
      <c r="M27" s="126" t="str">
        <f>Scheids!$D$7</f>
        <v>Marcel de Letter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>
        <v>1</v>
      </c>
      <c r="K29" s="124" t="s">
        <v>294</v>
      </c>
      <c r="L29" s="125">
        <v>2</v>
      </c>
      <c r="M29" s="126" t="str">
        <f>Scheids!$D$7</f>
        <v>Marcel de Letter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>
        <v>4</v>
      </c>
      <c r="K30" s="124" t="s">
        <v>294</v>
      </c>
      <c r="L30" s="125">
        <v>2</v>
      </c>
      <c r="M30" s="126" t="str">
        <f>Scheids!$D$7</f>
        <v>Marcel de Letter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>
        <v>1</v>
      </c>
      <c r="K32" s="124" t="s">
        <v>294</v>
      </c>
      <c r="L32" s="125">
        <v>2</v>
      </c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>
        <v>1</v>
      </c>
      <c r="K33" s="124" t="s">
        <v>294</v>
      </c>
      <c r="L33" s="125">
        <v>2</v>
      </c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>
        <v>1</v>
      </c>
      <c r="K34" s="124" t="s">
        <v>294</v>
      </c>
      <c r="L34" s="125">
        <v>2</v>
      </c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>
        <v>1</v>
      </c>
      <c r="K36" s="124" t="s">
        <v>294</v>
      </c>
      <c r="L36" s="125">
        <v>2</v>
      </c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>
        <v>4</v>
      </c>
      <c r="K37" s="124" t="s">
        <v>294</v>
      </c>
      <c r="L37" s="125">
        <v>2</v>
      </c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>
        <v>1</v>
      </c>
      <c r="K38" s="139" t="s">
        <v>294</v>
      </c>
      <c r="L38" s="140">
        <v>2</v>
      </c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336E6-E211-4488-A31F-6F4E6CD98368}">
  <sheetPr codeName="Blad5"/>
  <dimension ref="A1:X48"/>
  <sheetViews>
    <sheetView topLeftCell="A19" zoomScaleNormal="100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1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1</v>
      </c>
      <c r="K12" s="124" t="s">
        <v>294</v>
      </c>
      <c r="L12" s="125">
        <v>2</v>
      </c>
      <c r="M12" s="126" t="str">
        <f>Scheids!$D$8</f>
        <v>Louis vd Weijde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2</v>
      </c>
      <c r="K13" s="124" t="s">
        <v>294</v>
      </c>
      <c r="L13" s="125">
        <v>2</v>
      </c>
      <c r="M13" s="126" t="str">
        <f>Scheids!$D$8</f>
        <v>Louis vd Weijde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1</v>
      </c>
      <c r="K14" s="124" t="s">
        <v>294</v>
      </c>
      <c r="L14" s="125">
        <v>2</v>
      </c>
      <c r="M14" s="126" t="str">
        <f>Scheids!$F$8</f>
        <v>Marcel den Os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2</v>
      </c>
      <c r="M15" s="126" t="str">
        <f>Scheids!$F$8</f>
        <v>Marcel den Os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1</v>
      </c>
      <c r="K16" s="124" t="s">
        <v>294</v>
      </c>
      <c r="L16" s="125">
        <v>2</v>
      </c>
      <c r="M16" s="126" t="str">
        <f>Scheids!$F$8</f>
        <v>Marcel den Os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1</v>
      </c>
      <c r="K17" s="124" t="s">
        <v>294</v>
      </c>
      <c r="L17" s="125">
        <v>2</v>
      </c>
      <c r="M17" s="126" t="str">
        <f>Scheids!$D$8</f>
        <v>Louis vd Weijde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>
        <v>1</v>
      </c>
      <c r="K18" s="124" t="s">
        <v>294</v>
      </c>
      <c r="L18" s="125">
        <v>2</v>
      </c>
      <c r="M18" s="126" t="str">
        <f>Scheids!$D$8</f>
        <v>Louis vd Weijde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>
        <v>1</v>
      </c>
      <c r="K19" s="124" t="s">
        <v>294</v>
      </c>
      <c r="L19" s="125">
        <v>2</v>
      </c>
      <c r="M19" s="126" t="str">
        <f>Scheids!$D$8</f>
        <v>Louis vd Weijde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>
        <v>1</v>
      </c>
      <c r="K20" s="124" t="s">
        <v>294</v>
      </c>
      <c r="L20" s="125">
        <v>2</v>
      </c>
      <c r="M20" s="126" t="str">
        <f>Scheids!$F$8</f>
        <v>Marcel den Os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>
        <v>1</v>
      </c>
      <c r="K21" s="124" t="s">
        <v>294</v>
      </c>
      <c r="L21" s="125">
        <v>2</v>
      </c>
      <c r="M21" s="126" t="str">
        <f>Scheids!$F$8</f>
        <v>Marcel den Os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>
        <v>1</v>
      </c>
      <c r="K22" s="124" t="s">
        <v>294</v>
      </c>
      <c r="L22" s="125">
        <v>2</v>
      </c>
      <c r="M22" s="126" t="str">
        <f>Scheids!$F$8</f>
        <v>Marcel den Os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>
        <v>2</v>
      </c>
      <c r="K23" s="124" t="s">
        <v>294</v>
      </c>
      <c r="L23" s="125">
        <v>2</v>
      </c>
      <c r="M23" s="126" t="str">
        <f>Scheids!$D$8</f>
        <v>Louis vd Weijde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>
        <v>4</v>
      </c>
      <c r="K24" s="124" t="s">
        <v>294</v>
      </c>
      <c r="L24" s="125">
        <v>2</v>
      </c>
      <c r="M24" s="126" t="str">
        <f>Scheids!$D$8</f>
        <v>Louis vd Weijde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>
        <v>1</v>
      </c>
      <c r="K25" s="124" t="s">
        <v>294</v>
      </c>
      <c r="L25" s="125">
        <v>2</v>
      </c>
      <c r="M25" s="126" t="str">
        <f>Scheids!$D$8</f>
        <v>Louis vd Weijde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>
        <v>1</v>
      </c>
      <c r="K26" s="124" t="s">
        <v>294</v>
      </c>
      <c r="L26" s="125">
        <v>2</v>
      </c>
      <c r="M26" s="126" t="str">
        <f>Scheids!$F$8</f>
        <v>Marcel den Os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>
        <v>1</v>
      </c>
      <c r="K27" s="124" t="s">
        <v>294</v>
      </c>
      <c r="L27" s="125">
        <v>2</v>
      </c>
      <c r="M27" s="126" t="str">
        <f>Scheids!$F$8</f>
        <v>Marcel den Os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>
        <v>1</v>
      </c>
      <c r="K28" s="124" t="s">
        <v>294</v>
      </c>
      <c r="L28" s="125">
        <v>2</v>
      </c>
      <c r="M28" s="126" t="str">
        <f>Scheids!$F$8</f>
        <v>Marcel den Os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>
        <v>1</v>
      </c>
      <c r="K29" s="124" t="s">
        <v>294</v>
      </c>
      <c r="L29" s="125">
        <v>2</v>
      </c>
      <c r="M29" s="126" t="str">
        <f>Scheids!$D$8</f>
        <v>Louis vd Weijde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>
        <v>4</v>
      </c>
      <c r="K30" s="124" t="s">
        <v>294</v>
      </c>
      <c r="L30" s="125">
        <v>2</v>
      </c>
      <c r="M30" s="126" t="str">
        <f>Scheids!$D$8</f>
        <v>Louis vd Weijde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>
        <v>1</v>
      </c>
      <c r="K31" s="124" t="s">
        <v>294</v>
      </c>
      <c r="L31" s="125">
        <v>2</v>
      </c>
      <c r="M31" s="126" t="str">
        <f>Scheids!$D$8</f>
        <v>Louis vd Weijde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>
        <v>1</v>
      </c>
      <c r="K32" s="124" t="s">
        <v>294</v>
      </c>
      <c r="L32" s="125">
        <v>2</v>
      </c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>
        <v>1</v>
      </c>
      <c r="K33" s="124" t="s">
        <v>294</v>
      </c>
      <c r="L33" s="125">
        <v>2</v>
      </c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>
        <v>1</v>
      </c>
      <c r="K34" s="124" t="s">
        <v>294</v>
      </c>
      <c r="L34" s="125">
        <v>2</v>
      </c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>
        <v>3</v>
      </c>
      <c r="K35" s="124" t="s">
        <v>294</v>
      </c>
      <c r="L35" s="125">
        <v>2</v>
      </c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>
        <v>1</v>
      </c>
      <c r="K36" s="124" t="s">
        <v>294</v>
      </c>
      <c r="L36" s="125">
        <v>2</v>
      </c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>
        <v>4</v>
      </c>
      <c r="K37" s="124" t="s">
        <v>294</v>
      </c>
      <c r="L37" s="125">
        <v>2</v>
      </c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>
        <v>1</v>
      </c>
      <c r="K38" s="139" t="s">
        <v>294</v>
      </c>
      <c r="L38" s="140">
        <v>2</v>
      </c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70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CE301-71F3-4BA7-B089-9171246B423E}">
  <sheetPr codeName="Blad6"/>
  <dimension ref="A1:X48"/>
  <sheetViews>
    <sheetView topLeftCell="A26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1</v>
      </c>
      <c r="K11" s="110" t="s">
        <v>294</v>
      </c>
      <c r="L11" s="111">
        <v>2</v>
      </c>
      <c r="M11" s="112" t="str">
        <f>Scheids!$D$9</f>
        <v>Chris van Noordwijk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1</v>
      </c>
      <c r="K12" s="124" t="s">
        <v>294</v>
      </c>
      <c r="L12" s="125">
        <v>2</v>
      </c>
      <c r="M12" s="126" t="str">
        <f>Scheids!$D$9</f>
        <v>Chris van Noordwijk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2</v>
      </c>
      <c r="K13" s="124" t="s">
        <v>294</v>
      </c>
      <c r="L13" s="125">
        <v>2</v>
      </c>
      <c r="M13" s="126" t="str">
        <f>Scheids!$D$9</f>
        <v>Chris van Noordwijk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1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2</v>
      </c>
      <c r="M16" s="126" t="str">
        <f>Scheids!$F$9</f>
        <v>Dik vd Mast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1</v>
      </c>
      <c r="K17" s="124" t="s">
        <v>294</v>
      </c>
      <c r="L17" s="125">
        <v>2</v>
      </c>
      <c r="M17" s="126" t="str">
        <f>Scheids!$F$9</f>
        <v>Dik vd Mast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>
        <v>1</v>
      </c>
      <c r="K19" s="124" t="s">
        <v>294</v>
      </c>
      <c r="L19" s="125">
        <v>2</v>
      </c>
      <c r="M19" s="126" t="str">
        <f>Scheids!$D$9</f>
        <v>Chris van Noordwijk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>
        <v>1</v>
      </c>
      <c r="K20" s="124" t="s">
        <v>294</v>
      </c>
      <c r="L20" s="125">
        <v>2</v>
      </c>
      <c r="M20" s="126" t="str">
        <f>Scheids!$D$9</f>
        <v>Chris van Noordwijk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>
        <v>1</v>
      </c>
      <c r="K21" s="124" t="s">
        <v>294</v>
      </c>
      <c r="L21" s="125">
        <v>2</v>
      </c>
      <c r="M21" s="126" t="str">
        <f>Scheids!$D$9</f>
        <v>Chris van Noordwijk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>
        <v>2</v>
      </c>
      <c r="K23" s="124" t="s">
        <v>294</v>
      </c>
      <c r="L23" s="125">
        <v>2</v>
      </c>
      <c r="M23" s="126" t="str">
        <f>Scheids!$F$9</f>
        <v>Dik vd Mast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>
        <v>4</v>
      </c>
      <c r="K24" s="124" t="s">
        <v>294</v>
      </c>
      <c r="L24" s="125">
        <v>2</v>
      </c>
      <c r="M24" s="126" t="str">
        <f>Scheids!$F$9</f>
        <v>Dik vd Mast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>
        <v>1</v>
      </c>
      <c r="K25" s="124" t="s">
        <v>294</v>
      </c>
      <c r="L25" s="125">
        <v>2</v>
      </c>
      <c r="M25" s="126" t="str">
        <f>Scheids!$F$9</f>
        <v>Dik vd Mast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>
        <v>1</v>
      </c>
      <c r="K27" s="124" t="s">
        <v>294</v>
      </c>
      <c r="L27" s="125">
        <v>2</v>
      </c>
      <c r="M27" s="126" t="str">
        <f>Scheids!$D$9</f>
        <v>Chris van Noordwijk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>
        <v>1</v>
      </c>
      <c r="K29" s="124" t="s">
        <v>294</v>
      </c>
      <c r="L29" s="125">
        <v>2</v>
      </c>
      <c r="M29" s="126" t="str">
        <f>Scheids!$D$9</f>
        <v>Chris van Noordwijk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>
        <v>4</v>
      </c>
      <c r="K30" s="124" t="s">
        <v>294</v>
      </c>
      <c r="L30" s="125">
        <v>2</v>
      </c>
      <c r="M30" s="126" t="str">
        <f>Scheids!$D$9</f>
        <v>Chris van Noordwijk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>
        <v>1</v>
      </c>
      <c r="K32" s="124" t="s">
        <v>294</v>
      </c>
      <c r="L32" s="125">
        <v>2</v>
      </c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>
        <v>1</v>
      </c>
      <c r="K33" s="124" t="s">
        <v>294</v>
      </c>
      <c r="L33" s="125">
        <v>2</v>
      </c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>
        <v>1</v>
      </c>
      <c r="K34" s="124" t="s">
        <v>294</v>
      </c>
      <c r="L34" s="125">
        <v>2</v>
      </c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>
        <v>1</v>
      </c>
      <c r="K36" s="124" t="s">
        <v>294</v>
      </c>
      <c r="L36" s="125">
        <v>2</v>
      </c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>
        <v>4</v>
      </c>
      <c r="K37" s="124" t="s">
        <v>294</v>
      </c>
      <c r="L37" s="125">
        <v>2</v>
      </c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>
        <v>1</v>
      </c>
      <c r="K38" s="139" t="s">
        <v>294</v>
      </c>
      <c r="L38" s="140">
        <v>2</v>
      </c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3C8B9-0489-412D-A156-C230BDBCB68B}">
  <sheetPr codeName="Blad7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1</v>
      </c>
      <c r="K11" s="110" t="s">
        <v>294</v>
      </c>
      <c r="L11" s="111">
        <v>2</v>
      </c>
      <c r="M11" s="112" t="str">
        <f>Scheids!$D$10</f>
        <v>Dion Dingler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1</v>
      </c>
      <c r="K12" s="124" t="s">
        <v>294</v>
      </c>
      <c r="L12" s="125">
        <v>2</v>
      </c>
      <c r="M12" s="126" t="str">
        <f>Scheids!$D$10</f>
        <v>Dion Dingler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2</v>
      </c>
      <c r="K13" s="124" t="s">
        <v>294</v>
      </c>
      <c r="L13" s="125">
        <v>2</v>
      </c>
      <c r="M13" s="126" t="str">
        <f>Scheids!$D$10</f>
        <v>Dion Dingler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1</v>
      </c>
      <c r="K15" s="124" t="s">
        <v>294</v>
      </c>
      <c r="L15" s="125">
        <v>2</v>
      </c>
      <c r="M15" s="126" t="str">
        <f>Scheids!$F$10</f>
        <v>Henk Priem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1</v>
      </c>
      <c r="K16" s="124" t="s">
        <v>294</v>
      </c>
      <c r="L16" s="125">
        <v>2</v>
      </c>
      <c r="M16" s="126" t="str">
        <f>Scheids!$F$10</f>
        <v>Henk Priem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1</v>
      </c>
      <c r="K17" s="124" t="s">
        <v>294</v>
      </c>
      <c r="L17" s="125">
        <v>2</v>
      </c>
      <c r="M17" s="126" t="str">
        <f>Scheids!$F$10</f>
        <v>Henk Priem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>
        <v>1</v>
      </c>
      <c r="K19" s="124" t="s">
        <v>294</v>
      </c>
      <c r="L19" s="125">
        <v>2</v>
      </c>
      <c r="M19" s="126" t="str">
        <f>Scheids!$D$10</f>
        <v>Dion Dingler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>
        <v>1</v>
      </c>
      <c r="K20" s="124" t="s">
        <v>294</v>
      </c>
      <c r="L20" s="125">
        <v>2</v>
      </c>
      <c r="M20" s="126" t="str">
        <f>Scheids!$D$10</f>
        <v>Dion Dingler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>
        <v>1</v>
      </c>
      <c r="K21" s="124" t="s">
        <v>294</v>
      </c>
      <c r="L21" s="125">
        <v>2</v>
      </c>
      <c r="M21" s="126" t="str">
        <f>Scheids!$D$10</f>
        <v>Dion Dingler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>
        <v>2</v>
      </c>
      <c r="K23" s="124" t="s">
        <v>294</v>
      </c>
      <c r="L23" s="125">
        <v>2</v>
      </c>
      <c r="M23" s="126" t="str">
        <f>Scheids!$F$10</f>
        <v>Henk Priem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>
        <v>4</v>
      </c>
      <c r="K24" s="124" t="s">
        <v>294</v>
      </c>
      <c r="L24" s="125">
        <v>2</v>
      </c>
      <c r="M24" s="126" t="str">
        <f>Scheids!$F$10</f>
        <v>Henk Priem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>
        <v>1</v>
      </c>
      <c r="K25" s="124" t="s">
        <v>294</v>
      </c>
      <c r="L25" s="125">
        <v>2</v>
      </c>
      <c r="M25" s="126" t="str">
        <f>Scheids!$F$10</f>
        <v>Henk Priem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>
        <v>1</v>
      </c>
      <c r="K27" s="124" t="s">
        <v>294</v>
      </c>
      <c r="L27" s="125">
        <v>2</v>
      </c>
      <c r="M27" s="126" t="str">
        <f>Scheids!$D$10</f>
        <v>Dion Dingler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>
        <v>1</v>
      </c>
      <c r="K29" s="124" t="s">
        <v>294</v>
      </c>
      <c r="L29" s="125">
        <v>2</v>
      </c>
      <c r="M29" s="126" t="str">
        <f>Scheids!$D$10</f>
        <v>Dion Dingler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>
        <v>4</v>
      </c>
      <c r="K30" s="124" t="s">
        <v>294</v>
      </c>
      <c r="L30" s="125">
        <v>2</v>
      </c>
      <c r="M30" s="126" t="str">
        <f>Scheids!$D$10</f>
        <v>Dion Dingler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>
        <v>1</v>
      </c>
      <c r="K32" s="124" t="s">
        <v>294</v>
      </c>
      <c r="L32" s="125">
        <v>2</v>
      </c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>
        <v>1</v>
      </c>
      <c r="K33" s="124" t="s">
        <v>294</v>
      </c>
      <c r="L33" s="125">
        <v>2</v>
      </c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>
        <v>1</v>
      </c>
      <c r="K34" s="124" t="s">
        <v>294</v>
      </c>
      <c r="L34" s="125">
        <v>2</v>
      </c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>
        <v>1</v>
      </c>
      <c r="K36" s="124" t="s">
        <v>294</v>
      </c>
      <c r="L36" s="125">
        <v>2</v>
      </c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>
        <v>4</v>
      </c>
      <c r="K37" s="124" t="s">
        <v>294</v>
      </c>
      <c r="L37" s="125">
        <v>2</v>
      </c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>
        <v>1</v>
      </c>
      <c r="K38" s="139" t="s">
        <v>294</v>
      </c>
      <c r="L38" s="140">
        <v>2</v>
      </c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9AB5D-2114-482D-98A2-331D331A865D}">
  <sheetPr codeName="Blad8"/>
  <dimension ref="A1:X48"/>
  <sheetViews>
    <sheetView topLeftCell="A21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1</v>
      </c>
      <c r="K11" s="110" t="s">
        <v>294</v>
      </c>
      <c r="L11" s="111">
        <v>2</v>
      </c>
      <c r="M11" s="112" t="str">
        <f>Scheids!$D$11</f>
        <v>Leo Boer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1</v>
      </c>
      <c r="K12" s="124" t="s">
        <v>294</v>
      </c>
      <c r="L12" s="125">
        <v>2</v>
      </c>
      <c r="M12" s="126" t="str">
        <f>Scheids!$D$11</f>
        <v>Leo Boer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2</v>
      </c>
      <c r="K13" s="124" t="s">
        <v>294</v>
      </c>
      <c r="L13" s="125">
        <v>2</v>
      </c>
      <c r="M13" s="126" t="str">
        <f>Scheids!$D$11</f>
        <v>Leo Boer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1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1</v>
      </c>
      <c r="K16" s="124" t="s">
        <v>294</v>
      </c>
      <c r="L16" s="125">
        <v>2</v>
      </c>
      <c r="M16" s="126" t="str">
        <f>Scheids!$F$11</f>
        <v>Lars v Gassel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1</v>
      </c>
      <c r="K17" s="124" t="s">
        <v>294</v>
      </c>
      <c r="L17" s="125">
        <v>2</v>
      </c>
      <c r="M17" s="126" t="str">
        <f>Scheids!$F$11</f>
        <v>Lars v Gassel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>
        <v>1</v>
      </c>
      <c r="K19" s="124" t="s">
        <v>294</v>
      </c>
      <c r="L19" s="125">
        <v>2</v>
      </c>
      <c r="M19" s="126" t="str">
        <f>Scheids!$D$11</f>
        <v>Leo Boer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>
        <v>1</v>
      </c>
      <c r="K20" s="124" t="s">
        <v>294</v>
      </c>
      <c r="L20" s="125">
        <v>2</v>
      </c>
      <c r="M20" s="126" t="str">
        <f>Scheids!$D$11</f>
        <v>Leo Boer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>
        <v>1</v>
      </c>
      <c r="K21" s="124" t="s">
        <v>294</v>
      </c>
      <c r="L21" s="125">
        <v>2</v>
      </c>
      <c r="M21" s="126" t="str">
        <f>Scheids!$D$11</f>
        <v>Leo Boer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>
        <v>2</v>
      </c>
      <c r="K23" s="124" t="s">
        <v>294</v>
      </c>
      <c r="L23" s="125">
        <v>2</v>
      </c>
      <c r="M23" s="126" t="str">
        <f>Scheids!$F$11</f>
        <v>Lars v Gassel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>
        <v>4</v>
      </c>
      <c r="K24" s="124" t="s">
        <v>294</v>
      </c>
      <c r="L24" s="125">
        <v>2</v>
      </c>
      <c r="M24" s="126" t="str">
        <f>Scheids!$F$11</f>
        <v>Lars v Gassel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>
        <v>1</v>
      </c>
      <c r="K25" s="124" t="s">
        <v>294</v>
      </c>
      <c r="L25" s="125">
        <v>2</v>
      </c>
      <c r="M25" s="126" t="str">
        <f>Scheids!$F$11</f>
        <v>Lars v Gassel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>
        <v>1</v>
      </c>
      <c r="K27" s="124" t="s">
        <v>294</v>
      </c>
      <c r="L27" s="125">
        <v>2</v>
      </c>
      <c r="M27" s="126" t="str">
        <f>Scheids!$D$11</f>
        <v>Leo Boer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>
        <v>1</v>
      </c>
      <c r="K29" s="124" t="s">
        <v>294</v>
      </c>
      <c r="L29" s="125">
        <v>2</v>
      </c>
      <c r="M29" s="126" t="str">
        <f>Scheids!$D$11</f>
        <v>Leo Boer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>
        <v>4</v>
      </c>
      <c r="K30" s="124" t="s">
        <v>294</v>
      </c>
      <c r="L30" s="125">
        <v>2</v>
      </c>
      <c r="M30" s="126" t="str">
        <f>Scheids!$D$11</f>
        <v>Leo Boer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>
        <v>1</v>
      </c>
      <c r="K32" s="124" t="s">
        <v>294</v>
      </c>
      <c r="L32" s="125">
        <v>2</v>
      </c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>
        <v>1</v>
      </c>
      <c r="K33" s="124" t="s">
        <v>294</v>
      </c>
      <c r="L33" s="125">
        <v>2</v>
      </c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>
        <v>1</v>
      </c>
      <c r="K34" s="124" t="s">
        <v>294</v>
      </c>
      <c r="L34" s="125">
        <v>2</v>
      </c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>
        <v>1</v>
      </c>
      <c r="K36" s="124" t="s">
        <v>294</v>
      </c>
      <c r="L36" s="125">
        <v>2</v>
      </c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>
        <v>4</v>
      </c>
      <c r="K37" s="124" t="s">
        <v>294</v>
      </c>
      <c r="L37" s="125">
        <v>2</v>
      </c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>
        <v>1</v>
      </c>
      <c r="K38" s="139" t="s">
        <v>294</v>
      </c>
      <c r="L38" s="140">
        <v>2</v>
      </c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501F9-7B4D-4B34-B948-A3593B8A6A51}">
  <sheetPr codeName="Blad9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1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2</v>
      </c>
      <c r="M12" s="126" t="str">
        <f>Scheids!$D$12</f>
        <v>Theo Dessens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2</v>
      </c>
      <c r="K13" s="124" t="s">
        <v>294</v>
      </c>
      <c r="L13" s="125">
        <v>2</v>
      </c>
      <c r="M13" s="126" t="str">
        <f>Scheids!$D$12</f>
        <v>Theo Dessens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1</v>
      </c>
      <c r="K14" s="124" t="s">
        <v>294</v>
      </c>
      <c r="L14" s="125">
        <v>2</v>
      </c>
      <c r="M14" s="126" t="str">
        <f>Scheids!$F$12</f>
        <v>Ton Haanappel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1</v>
      </c>
      <c r="K15" s="124" t="s">
        <v>294</v>
      </c>
      <c r="L15" s="125">
        <v>2</v>
      </c>
      <c r="M15" s="126" t="str">
        <f>Scheids!$F$12</f>
        <v>Ton Haanappel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2</v>
      </c>
      <c r="M16" s="126" t="str">
        <f>Scheids!$F$12</f>
        <v>Ton Haanappel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1</v>
      </c>
      <c r="K17" s="124" t="s">
        <v>294</v>
      </c>
      <c r="L17" s="125">
        <v>2</v>
      </c>
      <c r="M17" s="126" t="str">
        <f>Scheids!$D$12</f>
        <v>Theo Dessens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>
        <v>1</v>
      </c>
      <c r="K18" s="124" t="s">
        <v>294</v>
      </c>
      <c r="L18" s="125">
        <v>2</v>
      </c>
      <c r="M18" s="126" t="str">
        <f>Scheids!$D$12</f>
        <v>Theo Dessens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>
        <v>1</v>
      </c>
      <c r="K19" s="124" t="s">
        <v>294</v>
      </c>
      <c r="L19" s="125">
        <v>2</v>
      </c>
      <c r="M19" s="126" t="str">
        <f>Scheids!$D$12</f>
        <v>Theo Dessens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>
        <v>1</v>
      </c>
      <c r="K20" s="124" t="s">
        <v>294</v>
      </c>
      <c r="L20" s="125">
        <v>2</v>
      </c>
      <c r="M20" s="126" t="str">
        <f>Scheids!$F$12</f>
        <v>Ton Haanappel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>
        <v>1</v>
      </c>
      <c r="K21" s="124" t="s">
        <v>294</v>
      </c>
      <c r="L21" s="125">
        <v>2</v>
      </c>
      <c r="M21" s="126" t="str">
        <f>Scheids!$F$12</f>
        <v>Ton Haanappel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>
        <v>1</v>
      </c>
      <c r="K22" s="124" t="s">
        <v>294</v>
      </c>
      <c r="L22" s="125">
        <v>2</v>
      </c>
      <c r="M22" s="126" t="str">
        <f>Scheids!$F$12</f>
        <v>Ton Haanappel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>
        <v>2</v>
      </c>
      <c r="K23" s="124" t="s">
        <v>294</v>
      </c>
      <c r="L23" s="125">
        <v>2</v>
      </c>
      <c r="M23" s="126" t="str">
        <f>Scheids!$D$12</f>
        <v>Theo Dessens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>
        <v>4</v>
      </c>
      <c r="K24" s="124" t="s">
        <v>294</v>
      </c>
      <c r="L24" s="125">
        <v>2</v>
      </c>
      <c r="M24" s="126" t="str">
        <f>Scheids!$D$12</f>
        <v>Theo Dessens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>
        <v>1</v>
      </c>
      <c r="K25" s="124" t="s">
        <v>294</v>
      </c>
      <c r="L25" s="125">
        <v>2</v>
      </c>
      <c r="M25" s="126" t="str">
        <f>Scheids!$D$12</f>
        <v>Theo Dessens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>
        <v>1</v>
      </c>
      <c r="K26" s="124" t="s">
        <v>294</v>
      </c>
      <c r="L26" s="125">
        <v>2</v>
      </c>
      <c r="M26" s="126" t="str">
        <f>Scheids!$F$12</f>
        <v>Ton Haanappel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>
        <v>1</v>
      </c>
      <c r="K27" s="124" t="s">
        <v>294</v>
      </c>
      <c r="L27" s="125">
        <v>2</v>
      </c>
      <c r="M27" s="126" t="str">
        <f>Scheids!$F$12</f>
        <v>Ton Haanappel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>
        <v>1</v>
      </c>
      <c r="K28" s="124" t="s">
        <v>294</v>
      </c>
      <c r="L28" s="125">
        <v>2</v>
      </c>
      <c r="M28" s="126" t="str">
        <f>Scheids!$F$12</f>
        <v>Ton Haanappel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>
        <v>1</v>
      </c>
      <c r="K29" s="124" t="s">
        <v>294</v>
      </c>
      <c r="L29" s="125">
        <v>2</v>
      </c>
      <c r="M29" s="126" t="str">
        <f>Scheids!$D$12</f>
        <v>Theo Dessens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>
        <v>4</v>
      </c>
      <c r="K30" s="124" t="s">
        <v>294</v>
      </c>
      <c r="L30" s="125">
        <v>2</v>
      </c>
      <c r="M30" s="126" t="str">
        <f>Scheids!$D$12</f>
        <v>Theo Dessens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>
        <v>1</v>
      </c>
      <c r="K31" s="124" t="s">
        <v>294</v>
      </c>
      <c r="L31" s="125">
        <v>2</v>
      </c>
      <c r="M31" s="126" t="str">
        <f>Scheids!$D$12</f>
        <v>Theo Dessens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>
        <v>1</v>
      </c>
      <c r="K32" s="124" t="s">
        <v>294</v>
      </c>
      <c r="L32" s="125">
        <v>2</v>
      </c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>
        <v>1</v>
      </c>
      <c r="K33" s="124" t="s">
        <v>294</v>
      </c>
      <c r="L33" s="125">
        <v>2</v>
      </c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>
        <v>1</v>
      </c>
      <c r="K34" s="124" t="s">
        <v>294</v>
      </c>
      <c r="L34" s="125">
        <v>2</v>
      </c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>
        <v>3</v>
      </c>
      <c r="K35" s="124" t="s">
        <v>294</v>
      </c>
      <c r="L35" s="125">
        <v>2</v>
      </c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>
        <v>1</v>
      </c>
      <c r="K36" s="124" t="s">
        <v>294</v>
      </c>
      <c r="L36" s="125">
        <v>2</v>
      </c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>
        <v>4</v>
      </c>
      <c r="K37" s="124" t="s">
        <v>294</v>
      </c>
      <c r="L37" s="125">
        <v>2</v>
      </c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>
        <v>1</v>
      </c>
      <c r="K38" s="139" t="s">
        <v>294</v>
      </c>
      <c r="L38" s="140">
        <v>2</v>
      </c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70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AE138-4281-4D20-9089-431AA3F565F8}">
  <sheetPr codeName="Blad10"/>
  <dimension ref="A1:X48"/>
  <sheetViews>
    <sheetView topLeftCell="A24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2</v>
      </c>
      <c r="M11" s="112" t="str">
        <f>Scheids!$D$13</f>
        <v>Ruud Bakas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1</v>
      </c>
      <c r="K12" s="124" t="s">
        <v>294</v>
      </c>
      <c r="L12" s="125">
        <v>2</v>
      </c>
      <c r="M12" s="126" t="str">
        <f>Scheids!$D$13</f>
        <v>Ruud Bakas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2</v>
      </c>
      <c r="K13" s="124" t="s">
        <v>294</v>
      </c>
      <c r="L13" s="125">
        <v>2</v>
      </c>
      <c r="M13" s="126" t="str">
        <f>Scheids!$D$13</f>
        <v>Ruud Bakas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2</v>
      </c>
      <c r="M14" s="126" t="str">
        <f>Scheids!$F$13</f>
        <v>Gennaro vd Kan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1</v>
      </c>
      <c r="K15" s="124" t="s">
        <v>294</v>
      </c>
      <c r="L15" s="125">
        <v>2</v>
      </c>
      <c r="M15" s="126" t="str">
        <f>Scheids!$F$13</f>
        <v>Gennaro vd Kan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1</v>
      </c>
      <c r="K16" s="124" t="s">
        <v>294</v>
      </c>
      <c r="L16" s="125">
        <v>2</v>
      </c>
      <c r="M16" s="126" t="str">
        <f>Scheids!$F$13</f>
        <v>Gennaro vd Kan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1</v>
      </c>
      <c r="K17" s="124" t="s">
        <v>294</v>
      </c>
      <c r="L17" s="125">
        <v>2</v>
      </c>
      <c r="M17" s="126" t="str">
        <f>Scheids!$D$13</f>
        <v>Ruud Bakas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>
        <v>1</v>
      </c>
      <c r="K18" s="124" t="s">
        <v>294</v>
      </c>
      <c r="L18" s="125">
        <v>2</v>
      </c>
      <c r="M18" s="126" t="str">
        <f>Scheids!$D$13</f>
        <v>Ruud Bakas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>
        <v>1</v>
      </c>
      <c r="K19" s="124" t="s">
        <v>294</v>
      </c>
      <c r="L19" s="125">
        <v>2</v>
      </c>
      <c r="M19" s="126" t="str">
        <f>Scheids!$D$13</f>
        <v>Ruud Bakas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>
        <v>1</v>
      </c>
      <c r="K20" s="124" t="s">
        <v>294</v>
      </c>
      <c r="L20" s="125">
        <v>2</v>
      </c>
      <c r="M20" s="126" t="str">
        <f>Scheids!$F$13</f>
        <v>Gennaro vd Kan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>
        <v>1</v>
      </c>
      <c r="K21" s="124" t="s">
        <v>294</v>
      </c>
      <c r="L21" s="125">
        <v>2</v>
      </c>
      <c r="M21" s="126" t="str">
        <f>Scheids!$F$13</f>
        <v>Gennaro vd Kan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>
        <v>1</v>
      </c>
      <c r="K22" s="124" t="s">
        <v>294</v>
      </c>
      <c r="L22" s="125">
        <v>2</v>
      </c>
      <c r="M22" s="126" t="str">
        <f>Scheids!$F$13</f>
        <v>Gennaro vd Kan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>
        <v>2</v>
      </c>
      <c r="K23" s="124" t="s">
        <v>294</v>
      </c>
      <c r="L23" s="125">
        <v>2</v>
      </c>
      <c r="M23" s="126" t="str">
        <f>Scheids!$D$13</f>
        <v>Ruud Bakas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>
        <v>4</v>
      </c>
      <c r="K24" s="124" t="s">
        <v>294</v>
      </c>
      <c r="L24" s="125">
        <v>2</v>
      </c>
      <c r="M24" s="126" t="str">
        <f>Scheids!$D$13</f>
        <v>Ruud Bakas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>
        <v>1</v>
      </c>
      <c r="K25" s="124" t="s">
        <v>294</v>
      </c>
      <c r="L25" s="125">
        <v>2</v>
      </c>
      <c r="M25" s="126" t="str">
        <f>Scheids!$D$13</f>
        <v>Ruud Bakas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>
        <v>1</v>
      </c>
      <c r="K26" s="124" t="s">
        <v>294</v>
      </c>
      <c r="L26" s="125">
        <v>2</v>
      </c>
      <c r="M26" s="126" t="str">
        <f>Scheids!$F$13</f>
        <v>Gennaro vd Kan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>
        <v>1</v>
      </c>
      <c r="K27" s="124" t="s">
        <v>294</v>
      </c>
      <c r="L27" s="125">
        <v>2</v>
      </c>
      <c r="M27" s="126" t="str">
        <f>Scheids!$F$13</f>
        <v>Gennaro vd Kan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>
        <v>1</v>
      </c>
      <c r="K28" s="124" t="s">
        <v>294</v>
      </c>
      <c r="L28" s="125">
        <v>2</v>
      </c>
      <c r="M28" s="126" t="str">
        <f>Scheids!$F$13</f>
        <v>Gennaro vd Kan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>
        <v>1</v>
      </c>
      <c r="K29" s="124" t="s">
        <v>294</v>
      </c>
      <c r="L29" s="125">
        <v>2</v>
      </c>
      <c r="M29" s="126" t="str">
        <f>Scheids!$D$13</f>
        <v>Ruud Bakas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>
        <v>4</v>
      </c>
      <c r="K30" s="124" t="s">
        <v>294</v>
      </c>
      <c r="L30" s="125">
        <v>2</v>
      </c>
      <c r="M30" s="126" t="str">
        <f>Scheids!$D$13</f>
        <v>Ruud Bakas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>
        <v>1</v>
      </c>
      <c r="K31" s="124" t="s">
        <v>294</v>
      </c>
      <c r="L31" s="125">
        <v>2</v>
      </c>
      <c r="M31" s="126" t="str">
        <f>Scheids!$D$13</f>
        <v>Ruud Bakas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>
        <v>1</v>
      </c>
      <c r="K32" s="124" t="s">
        <v>294</v>
      </c>
      <c r="L32" s="125">
        <v>2</v>
      </c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>
        <v>1</v>
      </c>
      <c r="K33" s="124" t="s">
        <v>294</v>
      </c>
      <c r="L33" s="125">
        <v>2</v>
      </c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>
        <v>1</v>
      </c>
      <c r="K34" s="124" t="s">
        <v>294</v>
      </c>
      <c r="L34" s="125">
        <v>2</v>
      </c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>
        <v>3</v>
      </c>
      <c r="K35" s="124" t="s">
        <v>294</v>
      </c>
      <c r="L35" s="125">
        <v>2</v>
      </c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>
        <v>1</v>
      </c>
      <c r="K36" s="124" t="s">
        <v>294</v>
      </c>
      <c r="L36" s="125">
        <v>2</v>
      </c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>
        <v>4</v>
      </c>
      <c r="K37" s="124" t="s">
        <v>294</v>
      </c>
      <c r="L37" s="125">
        <v>2</v>
      </c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>
        <v>1</v>
      </c>
      <c r="K38" s="139" t="s">
        <v>294</v>
      </c>
      <c r="L38" s="140">
        <v>2</v>
      </c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70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BD16-E9FE-4FDC-B47A-68ED0DFACC06}">
  <sheetPr codeName="Blad11"/>
  <dimension ref="A1:X48"/>
  <sheetViews>
    <sheetView topLeftCell="A21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1</v>
      </c>
      <c r="K11" s="110" t="s">
        <v>294</v>
      </c>
      <c r="L11" s="111">
        <v>2</v>
      </c>
      <c r="M11" s="112" t="str">
        <f>Scheids!$D$14</f>
        <v>Rob Staakman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1</v>
      </c>
      <c r="K12" s="124" t="s">
        <v>294</v>
      </c>
      <c r="L12" s="125">
        <v>2</v>
      </c>
      <c r="M12" s="126" t="str">
        <f>Scheids!$D$14</f>
        <v>Rob Staakman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2</v>
      </c>
      <c r="K13" s="124" t="s">
        <v>294</v>
      </c>
      <c r="L13" s="125">
        <v>2</v>
      </c>
      <c r="M13" s="126" t="str">
        <f>Scheids!$D$14</f>
        <v>Rob Staakman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1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1</v>
      </c>
      <c r="K15" s="124" t="s">
        <v>294</v>
      </c>
      <c r="L15" s="125">
        <v>2</v>
      </c>
      <c r="M15" s="126" t="str">
        <f>Scheids!$F$14</f>
        <v>Jack Altena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2</v>
      </c>
      <c r="M16" s="126" t="str">
        <f>Scheids!$F$14</f>
        <v>Jack Altena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1</v>
      </c>
      <c r="K17" s="124" t="s">
        <v>294</v>
      </c>
      <c r="L17" s="125">
        <v>2</v>
      </c>
      <c r="M17" s="126" t="str">
        <f>Scheids!$D$14</f>
        <v>Rob Staakman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>
        <v>1</v>
      </c>
      <c r="K18" s="124" t="s">
        <v>294</v>
      </c>
      <c r="L18" s="125">
        <v>2</v>
      </c>
      <c r="M18" s="126" t="str">
        <f>Scheids!$D$14</f>
        <v>Rob Staakman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>
        <v>1</v>
      </c>
      <c r="K19" s="124" t="s">
        <v>294</v>
      </c>
      <c r="L19" s="125">
        <v>2</v>
      </c>
      <c r="M19" s="126" t="str">
        <f>Scheids!$D$14</f>
        <v>Rob Staakman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>
        <v>1</v>
      </c>
      <c r="K20" s="124" t="s">
        <v>294</v>
      </c>
      <c r="L20" s="125">
        <v>2</v>
      </c>
      <c r="M20" s="126" t="str">
        <f>Scheids!$F$14</f>
        <v>Jack Altena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>
        <v>1</v>
      </c>
      <c r="K21" s="124" t="s">
        <v>294</v>
      </c>
      <c r="L21" s="125">
        <v>2</v>
      </c>
      <c r="M21" s="126" t="str">
        <f>Scheids!$F$14</f>
        <v>Jack Altena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>
        <v>1</v>
      </c>
      <c r="K22" s="124" t="s">
        <v>294</v>
      </c>
      <c r="L22" s="125">
        <v>2</v>
      </c>
      <c r="M22" s="126" t="str">
        <f>Scheids!$F$14</f>
        <v>Jack Altena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>
        <v>2</v>
      </c>
      <c r="K23" s="124" t="s">
        <v>294</v>
      </c>
      <c r="L23" s="125">
        <v>2</v>
      </c>
      <c r="M23" s="126" t="str">
        <f>Scheids!$D$14</f>
        <v>Rob Staakman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>
        <v>4</v>
      </c>
      <c r="K24" s="124" t="s">
        <v>294</v>
      </c>
      <c r="L24" s="125">
        <v>2</v>
      </c>
      <c r="M24" s="126" t="str">
        <f>Scheids!$D$14</f>
        <v>Rob Staakman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>
        <v>1</v>
      </c>
      <c r="K25" s="124" t="s">
        <v>294</v>
      </c>
      <c r="L25" s="125">
        <v>2</v>
      </c>
      <c r="M25" s="126" t="str">
        <f>Scheids!$D$14</f>
        <v>Rob Staakman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>
        <v>1</v>
      </c>
      <c r="K26" s="124" t="s">
        <v>294</v>
      </c>
      <c r="L26" s="125">
        <v>2</v>
      </c>
      <c r="M26" s="126" t="str">
        <f>Scheids!$F$14</f>
        <v>Jack Altena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>
        <v>1</v>
      </c>
      <c r="K27" s="124" t="s">
        <v>294</v>
      </c>
      <c r="L27" s="125">
        <v>2</v>
      </c>
      <c r="M27" s="126" t="str">
        <f>Scheids!$F$14</f>
        <v>Jack Altena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>
        <v>1</v>
      </c>
      <c r="K28" s="124" t="s">
        <v>294</v>
      </c>
      <c r="L28" s="125">
        <v>2</v>
      </c>
      <c r="M28" s="126" t="str">
        <f>Scheids!$F$14</f>
        <v>Jack Altena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>
        <v>1</v>
      </c>
      <c r="K29" s="124" t="s">
        <v>294</v>
      </c>
      <c r="L29" s="125">
        <v>2</v>
      </c>
      <c r="M29" s="126" t="str">
        <f>Scheids!$D$14</f>
        <v>Rob Staakman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>
        <v>4</v>
      </c>
      <c r="K30" s="124" t="s">
        <v>294</v>
      </c>
      <c r="L30" s="125">
        <v>2</v>
      </c>
      <c r="M30" s="126" t="str">
        <f>Scheids!$D$14</f>
        <v>Rob Staakman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>
        <v>1</v>
      </c>
      <c r="K31" s="124" t="s">
        <v>294</v>
      </c>
      <c r="L31" s="125">
        <v>2</v>
      </c>
      <c r="M31" s="126" t="str">
        <f>Scheids!$D$14</f>
        <v>Rob Staakman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>
        <v>1</v>
      </c>
      <c r="K32" s="124" t="s">
        <v>294</v>
      </c>
      <c r="L32" s="125">
        <v>2</v>
      </c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>
        <v>1</v>
      </c>
      <c r="K33" s="124" t="s">
        <v>294</v>
      </c>
      <c r="L33" s="125">
        <v>2</v>
      </c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>
        <v>1</v>
      </c>
      <c r="K34" s="124" t="s">
        <v>294</v>
      </c>
      <c r="L34" s="125">
        <v>2</v>
      </c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>
        <v>3</v>
      </c>
      <c r="K35" s="124" t="s">
        <v>294</v>
      </c>
      <c r="L35" s="125">
        <v>2</v>
      </c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>
        <v>1</v>
      </c>
      <c r="K36" s="124" t="s">
        <v>294</v>
      </c>
      <c r="L36" s="125">
        <v>2</v>
      </c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>
        <v>4</v>
      </c>
      <c r="K37" s="124" t="s">
        <v>294</v>
      </c>
      <c r="L37" s="125">
        <v>2</v>
      </c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>
        <v>1</v>
      </c>
      <c r="K38" s="139" t="s">
        <v>294</v>
      </c>
      <c r="L38" s="140">
        <v>2</v>
      </c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58"/>
      <c r="M44" s="156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723E7-2D39-48CF-B616-D0675E2A8ABC}">
  <sheetPr codeName="Blad12"/>
  <dimension ref="A1:X48"/>
  <sheetViews>
    <sheetView topLeftCell="A24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1</v>
      </c>
      <c r="K11" s="110" t="s">
        <v>294</v>
      </c>
      <c r="L11" s="111">
        <v>2</v>
      </c>
      <c r="M11" s="112" t="str">
        <f>Scheids!$D$15</f>
        <v>Rien Beenen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2</v>
      </c>
      <c r="M12" s="126" t="str">
        <f>Scheids!$D$15</f>
        <v>Rien Beenen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2</v>
      </c>
      <c r="K13" s="124" t="s">
        <v>294</v>
      </c>
      <c r="L13" s="125">
        <v>2</v>
      </c>
      <c r="M13" s="126" t="str">
        <f>Scheids!$D$15</f>
        <v>Rien Beenen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2</v>
      </c>
      <c r="M14" s="126" t="str">
        <f>Scheids!$F$15</f>
        <v>Anita Schouten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2</v>
      </c>
      <c r="M15" s="126" t="str">
        <f>Scheids!$F$15</f>
        <v>Anita Schouten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1</v>
      </c>
      <c r="K16" s="124" t="s">
        <v>294</v>
      </c>
      <c r="L16" s="125">
        <v>2</v>
      </c>
      <c r="M16" s="126" t="str">
        <f>Scheids!$F$15</f>
        <v>Anita Schouten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2</v>
      </c>
      <c r="M17" s="126" t="str">
        <f>Scheids!$D$15</f>
        <v>Rien Beenen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>
        <v>1</v>
      </c>
      <c r="K18" s="124" t="s">
        <v>294</v>
      </c>
      <c r="L18" s="125">
        <v>2</v>
      </c>
      <c r="M18" s="126" t="str">
        <f>Scheids!$D$15</f>
        <v>Rien Beenen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>
        <v>1</v>
      </c>
      <c r="K19" s="124" t="s">
        <v>294</v>
      </c>
      <c r="L19" s="125">
        <v>2</v>
      </c>
      <c r="M19" s="126" t="str">
        <f>Scheids!$D$15</f>
        <v>Rien Beenen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>
        <v>1</v>
      </c>
      <c r="K20" s="124" t="s">
        <v>294</v>
      </c>
      <c r="L20" s="125">
        <v>2</v>
      </c>
      <c r="M20" s="126" t="str">
        <f>Scheids!$F$15</f>
        <v>Anita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>
        <v>1</v>
      </c>
      <c r="K21" s="124" t="s">
        <v>294</v>
      </c>
      <c r="L21" s="125">
        <v>2</v>
      </c>
      <c r="M21" s="126" t="str">
        <f>Scheids!$F$15</f>
        <v>Anita Schouten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>
        <v>1</v>
      </c>
      <c r="K22" s="124" t="s">
        <v>294</v>
      </c>
      <c r="L22" s="125">
        <v>2</v>
      </c>
      <c r="M22" s="126" t="str">
        <f>Scheids!$F$15</f>
        <v>Anita Schouten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>
        <v>2</v>
      </c>
      <c r="K23" s="124" t="s">
        <v>294</v>
      </c>
      <c r="L23" s="125">
        <v>2</v>
      </c>
      <c r="M23" s="126" t="str">
        <f>Scheids!$D$15</f>
        <v>Rien Beenen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>
        <v>4</v>
      </c>
      <c r="K24" s="124" t="s">
        <v>294</v>
      </c>
      <c r="L24" s="125">
        <v>2</v>
      </c>
      <c r="M24" s="126" t="str">
        <f>Scheids!$D$15</f>
        <v>Rien Beenen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>
        <v>1</v>
      </c>
      <c r="K25" s="124" t="s">
        <v>294</v>
      </c>
      <c r="L25" s="125">
        <v>2</v>
      </c>
      <c r="M25" s="126" t="str">
        <f>Scheids!$D$15</f>
        <v>Rien Beenen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>
        <v>1</v>
      </c>
      <c r="K26" s="124" t="s">
        <v>294</v>
      </c>
      <c r="L26" s="125">
        <v>2</v>
      </c>
      <c r="M26" s="126" t="str">
        <f>Scheids!$F$15</f>
        <v>Anita Schouten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>
        <v>1</v>
      </c>
      <c r="K27" s="124" t="s">
        <v>294</v>
      </c>
      <c r="L27" s="125">
        <v>2</v>
      </c>
      <c r="M27" s="126" t="str">
        <f>Scheids!$F$15</f>
        <v>Anita Schouten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>
        <v>1</v>
      </c>
      <c r="K28" s="124" t="s">
        <v>294</v>
      </c>
      <c r="L28" s="125">
        <v>2</v>
      </c>
      <c r="M28" s="126" t="str">
        <f>Scheids!$F$15</f>
        <v>Anita Schouten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>
        <v>1</v>
      </c>
      <c r="K29" s="124" t="s">
        <v>294</v>
      </c>
      <c r="L29" s="125">
        <v>2</v>
      </c>
      <c r="M29" s="126" t="str">
        <f>Scheids!$D$15</f>
        <v>Rien Beenen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>
        <v>4</v>
      </c>
      <c r="K30" s="124" t="s">
        <v>294</v>
      </c>
      <c r="L30" s="125">
        <v>2</v>
      </c>
      <c r="M30" s="126" t="str">
        <f>Scheids!$D$15</f>
        <v>Rien Beenen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>
        <v>1</v>
      </c>
      <c r="K31" s="124" t="s">
        <v>294</v>
      </c>
      <c r="L31" s="125">
        <v>2</v>
      </c>
      <c r="M31" s="126" t="str">
        <f>Scheids!$D$15</f>
        <v>Rien Beenen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>
        <v>1</v>
      </c>
      <c r="K32" s="124" t="s">
        <v>294</v>
      </c>
      <c r="L32" s="125">
        <v>2</v>
      </c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>
        <v>1</v>
      </c>
      <c r="K33" s="124" t="s">
        <v>294</v>
      </c>
      <c r="L33" s="125">
        <v>2</v>
      </c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>
        <v>1</v>
      </c>
      <c r="K34" s="124" t="s">
        <v>294</v>
      </c>
      <c r="L34" s="125">
        <v>2</v>
      </c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>
        <v>3</v>
      </c>
      <c r="K35" s="124" t="s">
        <v>294</v>
      </c>
      <c r="L35" s="125">
        <v>2</v>
      </c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>
        <v>1</v>
      </c>
      <c r="K36" s="124" t="s">
        <v>294</v>
      </c>
      <c r="L36" s="125">
        <v>2</v>
      </c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>
        <v>4</v>
      </c>
      <c r="K37" s="124" t="s">
        <v>294</v>
      </c>
      <c r="L37" s="125">
        <v>2</v>
      </c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>
        <v>1</v>
      </c>
      <c r="K38" s="139" t="s">
        <v>294</v>
      </c>
      <c r="L38" s="140">
        <v>2</v>
      </c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58"/>
      <c r="M44" s="156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BE32F-5B45-41E9-A435-C84C426B27BC}">
  <sheetPr codeName="Blad13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1</v>
      </c>
      <c r="K11" s="110" t="s">
        <v>294</v>
      </c>
      <c r="L11" s="111">
        <v>2</v>
      </c>
      <c r="M11" s="112" t="str">
        <f>Scheids!$D$16</f>
        <v>Diana Schouten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1</v>
      </c>
      <c r="K12" s="124" t="s">
        <v>294</v>
      </c>
      <c r="L12" s="125">
        <v>2</v>
      </c>
      <c r="M12" s="126" t="str">
        <f>Scheids!$D$16</f>
        <v>Diana Schouten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2</v>
      </c>
      <c r="K13" s="124" t="s">
        <v>294</v>
      </c>
      <c r="L13" s="125">
        <v>2</v>
      </c>
      <c r="M13" s="126" t="str">
        <f>Scheids!$D$16</f>
        <v>Diana Schouten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1</v>
      </c>
      <c r="K15" s="124" t="s">
        <v>294</v>
      </c>
      <c r="L15" s="125">
        <v>2</v>
      </c>
      <c r="M15" s="126" t="str">
        <f>Scheids!$F$16</f>
        <v>Frank Maat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1</v>
      </c>
      <c r="K16" s="124" t="s">
        <v>294</v>
      </c>
      <c r="L16" s="125">
        <v>2</v>
      </c>
      <c r="M16" s="126" t="str">
        <f>Scheids!$F$16</f>
        <v>Frank Maat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1</v>
      </c>
      <c r="K17" s="124" t="s">
        <v>294</v>
      </c>
      <c r="L17" s="125">
        <v>2</v>
      </c>
      <c r="M17" s="126" t="str">
        <f>Scheids!$F$16</f>
        <v>Frank Maat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>
        <v>1</v>
      </c>
      <c r="K19" s="124" t="s">
        <v>294</v>
      </c>
      <c r="L19" s="125">
        <v>2</v>
      </c>
      <c r="M19" s="126" t="str">
        <f>Scheids!$D$16</f>
        <v>Diana Schouten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>
        <v>1</v>
      </c>
      <c r="K20" s="124" t="s">
        <v>294</v>
      </c>
      <c r="L20" s="125">
        <v>2</v>
      </c>
      <c r="M20" s="126" t="str">
        <f>Scheids!$D$16</f>
        <v>Diana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>
        <v>1</v>
      </c>
      <c r="K21" s="124" t="s">
        <v>294</v>
      </c>
      <c r="L21" s="125">
        <v>2</v>
      </c>
      <c r="M21" s="126" t="str">
        <f>Scheids!$D$16</f>
        <v>Diana Schouten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>
        <v>2</v>
      </c>
      <c r="K23" s="124" t="s">
        <v>294</v>
      </c>
      <c r="L23" s="125">
        <v>2</v>
      </c>
      <c r="M23" s="126" t="str">
        <f>Scheids!$F$16</f>
        <v>Frank Maat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>
        <v>4</v>
      </c>
      <c r="K24" s="124" t="s">
        <v>294</v>
      </c>
      <c r="L24" s="125">
        <v>2</v>
      </c>
      <c r="M24" s="126" t="str">
        <f>Scheids!$F$16</f>
        <v>Frank Maat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>
        <v>1</v>
      </c>
      <c r="K25" s="124" t="s">
        <v>294</v>
      </c>
      <c r="L25" s="125">
        <v>2</v>
      </c>
      <c r="M25" s="126" t="str">
        <f>Scheids!$F$16</f>
        <v>Frank Maat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>
        <v>1</v>
      </c>
      <c r="K27" s="124" t="s">
        <v>294</v>
      </c>
      <c r="L27" s="125">
        <v>2</v>
      </c>
      <c r="M27" s="126" t="str">
        <f>Scheids!$D$16</f>
        <v>Diana Schouten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>
        <v>1</v>
      </c>
      <c r="K29" s="124" t="s">
        <v>294</v>
      </c>
      <c r="L29" s="125">
        <v>2</v>
      </c>
      <c r="M29" s="126" t="str">
        <f>Scheids!$D$16</f>
        <v>Diana Schouten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>
        <v>4</v>
      </c>
      <c r="K30" s="124" t="s">
        <v>294</v>
      </c>
      <c r="L30" s="125">
        <v>2</v>
      </c>
      <c r="M30" s="126" t="str">
        <f>Scheids!$D$16</f>
        <v>Diana Schouten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>
        <v>1</v>
      </c>
      <c r="K32" s="124" t="s">
        <v>294</v>
      </c>
      <c r="L32" s="125">
        <v>2</v>
      </c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>
        <v>1</v>
      </c>
      <c r="K33" s="124" t="s">
        <v>294</v>
      </c>
      <c r="L33" s="125">
        <v>2</v>
      </c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>
        <v>1</v>
      </c>
      <c r="K34" s="124" t="s">
        <v>294</v>
      </c>
      <c r="L34" s="125">
        <v>2</v>
      </c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>
        <v>1</v>
      </c>
      <c r="K36" s="124" t="s">
        <v>294</v>
      </c>
      <c r="L36" s="125">
        <v>2</v>
      </c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>
        <v>4</v>
      </c>
      <c r="K37" s="124" t="s">
        <v>294</v>
      </c>
      <c r="L37" s="125">
        <v>2</v>
      </c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>
        <v>1</v>
      </c>
      <c r="K38" s="139" t="s">
        <v>294</v>
      </c>
      <c r="L38" s="140">
        <v>2</v>
      </c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2E65D-38FD-46F7-84E8-A4F575EF9DA6}">
  <sheetPr codeName="Blad14"/>
  <dimension ref="A1:X48"/>
  <sheetViews>
    <sheetView topLeftCell="A25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2</v>
      </c>
      <c r="M11" s="112" t="str">
        <f>Scheids!$D$17</f>
        <v>Patrick vd Helm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1</v>
      </c>
      <c r="K12" s="124" t="s">
        <v>294</v>
      </c>
      <c r="L12" s="125">
        <v>2</v>
      </c>
      <c r="M12" s="126" t="str">
        <f>Scheids!$D$17</f>
        <v>Patrick vd Helm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2</v>
      </c>
      <c r="K13" s="124" t="s">
        <v>294</v>
      </c>
      <c r="L13" s="125">
        <v>2</v>
      </c>
      <c r="M13" s="126" t="str">
        <f>Scheids!$D$17</f>
        <v>Patrick vd Helm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2</v>
      </c>
      <c r="M15" s="126" t="str">
        <f>Scheids!$F$17</f>
        <v>Quinten Kube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1</v>
      </c>
      <c r="K16" s="124" t="s">
        <v>294</v>
      </c>
      <c r="L16" s="125">
        <v>2</v>
      </c>
      <c r="M16" s="126" t="str">
        <f>Scheids!$F$17</f>
        <v>Quinten Kube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1</v>
      </c>
      <c r="K17" s="124" t="s">
        <v>294</v>
      </c>
      <c r="L17" s="125">
        <v>2</v>
      </c>
      <c r="M17" s="126" t="str">
        <f>Scheids!$F$17</f>
        <v>Quinten Kube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>
        <v>1</v>
      </c>
      <c r="K19" s="124" t="s">
        <v>294</v>
      </c>
      <c r="L19" s="125">
        <v>2</v>
      </c>
      <c r="M19" s="126" t="str">
        <f>Scheids!$D$17</f>
        <v>Patrick vd Helm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>
        <v>1</v>
      </c>
      <c r="K20" s="124" t="s">
        <v>294</v>
      </c>
      <c r="L20" s="125">
        <v>2</v>
      </c>
      <c r="M20" s="126" t="str">
        <f>Scheids!$D$17</f>
        <v>Patrick vd Helm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>
        <v>1</v>
      </c>
      <c r="K21" s="124" t="s">
        <v>294</v>
      </c>
      <c r="L21" s="125">
        <v>2</v>
      </c>
      <c r="M21" s="126" t="str">
        <f>Scheids!$D$17</f>
        <v>Patrick vd Helm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>
        <v>2</v>
      </c>
      <c r="K23" s="124" t="s">
        <v>294</v>
      </c>
      <c r="L23" s="125">
        <v>2</v>
      </c>
      <c r="M23" s="126" t="str">
        <f>Scheids!$F$17</f>
        <v>Quinten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>
        <v>4</v>
      </c>
      <c r="K24" s="124" t="s">
        <v>294</v>
      </c>
      <c r="L24" s="125">
        <v>2</v>
      </c>
      <c r="M24" s="126" t="str">
        <f>Scheids!$F$17</f>
        <v>Quinten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>
        <v>1</v>
      </c>
      <c r="K25" s="124" t="s">
        <v>294</v>
      </c>
      <c r="L25" s="125">
        <v>2</v>
      </c>
      <c r="M25" s="126" t="str">
        <f>Scheids!$F$17</f>
        <v>Quinten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>
        <v>1</v>
      </c>
      <c r="K27" s="124" t="s">
        <v>294</v>
      </c>
      <c r="L27" s="125">
        <v>2</v>
      </c>
      <c r="M27" s="126" t="str">
        <f>Scheids!$D$17</f>
        <v>Patrick vd Helm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>
        <v>1</v>
      </c>
      <c r="K29" s="124" t="s">
        <v>294</v>
      </c>
      <c r="L29" s="125">
        <v>2</v>
      </c>
      <c r="M29" s="126" t="str">
        <f>Scheids!$D$17</f>
        <v>Patrick vd Helm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>
        <v>4</v>
      </c>
      <c r="K30" s="124" t="s">
        <v>294</v>
      </c>
      <c r="L30" s="125">
        <v>2</v>
      </c>
      <c r="M30" s="126" t="str">
        <f>Scheids!$D$17</f>
        <v>Patrick vd Helm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>
        <v>1</v>
      </c>
      <c r="K32" s="124" t="s">
        <v>294</v>
      </c>
      <c r="L32" s="125">
        <v>2</v>
      </c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>
        <v>1</v>
      </c>
      <c r="K33" s="124" t="s">
        <v>294</v>
      </c>
      <c r="L33" s="125">
        <v>2</v>
      </c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>
        <v>1</v>
      </c>
      <c r="K34" s="124" t="s">
        <v>294</v>
      </c>
      <c r="L34" s="125">
        <v>2</v>
      </c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>
        <v>1</v>
      </c>
      <c r="K36" s="124" t="s">
        <v>294</v>
      </c>
      <c r="L36" s="125">
        <v>2</v>
      </c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>
        <v>4</v>
      </c>
      <c r="K37" s="124" t="s">
        <v>294</v>
      </c>
      <c r="L37" s="125">
        <v>2</v>
      </c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>
        <v>1</v>
      </c>
      <c r="K38" s="139" t="s">
        <v>294</v>
      </c>
      <c r="L38" s="140">
        <v>2</v>
      </c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FE8D-42BA-4CFB-9E2B-8303206996DC}">
  <sheetPr codeName="Blad15"/>
  <dimension ref="A1:X48"/>
  <sheetViews>
    <sheetView topLeftCell="A21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1</v>
      </c>
      <c r="K11" s="110" t="s">
        <v>294</v>
      </c>
      <c r="L11" s="111">
        <v>2</v>
      </c>
      <c r="M11" s="112" t="str">
        <f>Scheids!$D$18</f>
        <v>Martin van Blitterswijk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1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2</v>
      </c>
      <c r="K13" s="124" t="s">
        <v>294</v>
      </c>
      <c r="L13" s="125">
        <v>2</v>
      </c>
      <c r="M13" s="126" t="str">
        <f>Scheids!$D$18</f>
        <v>Martin van Blitterswijk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2</v>
      </c>
      <c r="M15" s="126" t="str">
        <f>Scheids!$F$18</f>
        <v>Andrew Kube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2</v>
      </c>
      <c r="M16" s="126" t="str">
        <f>Scheids!$F$18</f>
        <v>Andrew Kube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2</v>
      </c>
      <c r="M17" s="126" t="str">
        <f>Scheids!$F$18</f>
        <v>Andrew Kube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>
        <v>1</v>
      </c>
      <c r="K19" s="124" t="s">
        <v>294</v>
      </c>
      <c r="L19" s="125">
        <v>2</v>
      </c>
      <c r="M19" s="126" t="str">
        <f>Scheids!$D$18</f>
        <v>Martin van Blitterswijk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>
        <v>1</v>
      </c>
      <c r="K20" s="124" t="s">
        <v>294</v>
      </c>
      <c r="L20" s="125">
        <v>2</v>
      </c>
      <c r="M20" s="126" t="str">
        <f>Scheids!$D$18</f>
        <v>Martin van Blitterswijk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>
        <v>1</v>
      </c>
      <c r="K21" s="124" t="s">
        <v>294</v>
      </c>
      <c r="L21" s="125">
        <v>2</v>
      </c>
      <c r="M21" s="126" t="str">
        <f>Scheids!$D$18</f>
        <v>Martin van Blitterswijk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>
        <v>2</v>
      </c>
      <c r="K23" s="124" t="s">
        <v>294</v>
      </c>
      <c r="L23" s="125">
        <v>2</v>
      </c>
      <c r="M23" s="126" t="str">
        <f>Scheids!$F$18</f>
        <v>Andrew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>
        <v>4</v>
      </c>
      <c r="K24" s="124" t="s">
        <v>294</v>
      </c>
      <c r="L24" s="125">
        <v>2</v>
      </c>
      <c r="M24" s="126" t="str">
        <f>Scheids!$F$18</f>
        <v>Andrew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>
        <v>1</v>
      </c>
      <c r="K25" s="124" t="s">
        <v>294</v>
      </c>
      <c r="L25" s="125">
        <v>2</v>
      </c>
      <c r="M25" s="126" t="str">
        <f>Scheids!$F$18</f>
        <v>Andrew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>
        <v>1</v>
      </c>
      <c r="K27" s="124" t="s">
        <v>294</v>
      </c>
      <c r="L27" s="125">
        <v>2</v>
      </c>
      <c r="M27" s="126" t="str">
        <f>Scheids!$D$18</f>
        <v>Martin van Blitterswijk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>
        <v>1</v>
      </c>
      <c r="K29" s="124" t="s">
        <v>294</v>
      </c>
      <c r="L29" s="125">
        <v>2</v>
      </c>
      <c r="M29" s="126" t="str">
        <f>Scheids!$D$18</f>
        <v>Martin van Blitterswijk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>
        <v>4</v>
      </c>
      <c r="K30" s="124" t="s">
        <v>294</v>
      </c>
      <c r="L30" s="125">
        <v>2</v>
      </c>
      <c r="M30" s="126" t="str">
        <f>Scheids!$D$18</f>
        <v>Martin van Blitterswijk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>
        <v>1</v>
      </c>
      <c r="K32" s="124" t="s">
        <v>294</v>
      </c>
      <c r="L32" s="125">
        <v>2</v>
      </c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>
        <v>1</v>
      </c>
      <c r="K33" s="124" t="s">
        <v>294</v>
      </c>
      <c r="L33" s="125">
        <v>2</v>
      </c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>
        <v>1</v>
      </c>
      <c r="K34" s="124" t="s">
        <v>294</v>
      </c>
      <c r="L34" s="125">
        <v>2</v>
      </c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>
        <v>1</v>
      </c>
      <c r="K36" s="124" t="s">
        <v>294</v>
      </c>
      <c r="L36" s="125">
        <v>2</v>
      </c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>
        <v>4</v>
      </c>
      <c r="K37" s="124" t="s">
        <v>294</v>
      </c>
      <c r="L37" s="125">
        <v>2</v>
      </c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>
        <v>1</v>
      </c>
      <c r="K38" s="139" t="s">
        <v>294</v>
      </c>
      <c r="L38" s="140">
        <v>2</v>
      </c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14849-BC05-4B87-BA3D-C4856939B67A}">
  <sheetPr codeName="Blad16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1</v>
      </c>
      <c r="K11" s="110" t="s">
        <v>294</v>
      </c>
      <c r="L11" s="111">
        <v>2</v>
      </c>
      <c r="M11" s="112" t="str">
        <f>Scheids!$D$19</f>
        <v>John Kortekaas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1</v>
      </c>
      <c r="K12" s="124" t="s">
        <v>294</v>
      </c>
      <c r="L12" s="125">
        <v>2</v>
      </c>
      <c r="M12" s="126" t="str">
        <f>Scheids!$D$19</f>
        <v>John Kortekaas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2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1</v>
      </c>
      <c r="K15" s="124" t="s">
        <v>294</v>
      </c>
      <c r="L15" s="125">
        <v>2</v>
      </c>
      <c r="M15" s="126" t="str">
        <f>Scheids!$F$19</f>
        <v>Robert vd Bosch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1</v>
      </c>
      <c r="K16" s="124" t="s">
        <v>294</v>
      </c>
      <c r="L16" s="125">
        <v>2</v>
      </c>
      <c r="M16" s="126" t="str">
        <f>Scheids!$F$19</f>
        <v>Robert vd Bosch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2</v>
      </c>
      <c r="M17" s="126" t="str">
        <f>Scheids!$F$19</f>
        <v>Robert vd Bosch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>
        <v>1</v>
      </c>
      <c r="K19" s="124" t="s">
        <v>294</v>
      </c>
      <c r="L19" s="125">
        <v>2</v>
      </c>
      <c r="M19" s="126" t="str">
        <f>Scheids!$D$19</f>
        <v>John Kortekaas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>
        <v>1</v>
      </c>
      <c r="K20" s="124" t="s">
        <v>294</v>
      </c>
      <c r="L20" s="125">
        <v>2</v>
      </c>
      <c r="M20" s="126" t="str">
        <f>Scheids!$D$19</f>
        <v>John Kortekaas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>
        <v>1</v>
      </c>
      <c r="K21" s="124" t="s">
        <v>294</v>
      </c>
      <c r="L21" s="125">
        <v>2</v>
      </c>
      <c r="M21" s="126" t="str">
        <f>Scheids!$D$19</f>
        <v>John Kortekaas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>
        <v>2</v>
      </c>
      <c r="K23" s="124" t="s">
        <v>294</v>
      </c>
      <c r="L23" s="125">
        <v>2</v>
      </c>
      <c r="M23" s="126" t="str">
        <f>Scheids!$F$19</f>
        <v>Robert vd Bosch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>
        <v>4</v>
      </c>
      <c r="K24" s="124" t="s">
        <v>294</v>
      </c>
      <c r="L24" s="125">
        <v>2</v>
      </c>
      <c r="M24" s="126" t="str">
        <f>Scheids!$F$19</f>
        <v>Robert vd Bosch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>
        <v>1</v>
      </c>
      <c r="K25" s="124" t="s">
        <v>294</v>
      </c>
      <c r="L25" s="125">
        <v>2</v>
      </c>
      <c r="M25" s="126" t="str">
        <f>Scheids!$F$19</f>
        <v>Robert vd Bosch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>
        <v>1</v>
      </c>
      <c r="K27" s="124" t="s">
        <v>294</v>
      </c>
      <c r="L27" s="125">
        <v>2</v>
      </c>
      <c r="M27" s="126" t="str">
        <f>Scheids!$D$19</f>
        <v>John Kortekaas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>
        <v>1</v>
      </c>
      <c r="K29" s="124" t="s">
        <v>294</v>
      </c>
      <c r="L29" s="125">
        <v>2</v>
      </c>
      <c r="M29" s="126" t="str">
        <f>Scheids!$D$19</f>
        <v>John Kortekaas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>
        <v>4</v>
      </c>
      <c r="K30" s="124" t="s">
        <v>294</v>
      </c>
      <c r="L30" s="125">
        <v>2</v>
      </c>
      <c r="M30" s="126" t="str">
        <f>Scheids!$D$19</f>
        <v>John Kortekaas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>
        <v>1</v>
      </c>
      <c r="K32" s="124" t="s">
        <v>294</v>
      </c>
      <c r="L32" s="125">
        <v>2</v>
      </c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>
        <v>1</v>
      </c>
      <c r="K33" s="124" t="s">
        <v>294</v>
      </c>
      <c r="L33" s="125">
        <v>2</v>
      </c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>
        <v>1</v>
      </c>
      <c r="K34" s="124" t="s">
        <v>294</v>
      </c>
      <c r="L34" s="125">
        <v>2</v>
      </c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>
        <v>1</v>
      </c>
      <c r="K36" s="124" t="s">
        <v>294</v>
      </c>
      <c r="L36" s="125">
        <v>2</v>
      </c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>
        <v>4</v>
      </c>
      <c r="K37" s="124" t="s">
        <v>294</v>
      </c>
      <c r="L37" s="125">
        <v>2</v>
      </c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>
        <v>1</v>
      </c>
      <c r="K38" s="139" t="s">
        <v>294</v>
      </c>
      <c r="L38" s="140">
        <v>2</v>
      </c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25011-FBB7-4830-8C1B-C58EAB0BAB20}">
  <sheetPr codeName="Blad17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1</v>
      </c>
      <c r="K11" s="110" t="s">
        <v>294</v>
      </c>
      <c r="L11" s="111">
        <v>2</v>
      </c>
      <c r="M11" s="112" t="str">
        <f>Scheids!$D$20</f>
        <v>Bas Kers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1</v>
      </c>
      <c r="K12" s="124" t="s">
        <v>294</v>
      </c>
      <c r="L12" s="125">
        <v>2</v>
      </c>
      <c r="M12" s="126" t="str">
        <f>Scheids!$D$20</f>
        <v>Bas Kers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2</v>
      </c>
      <c r="K13" s="124" t="s">
        <v>294</v>
      </c>
      <c r="L13" s="125">
        <v>2</v>
      </c>
      <c r="M13" s="126" t="str">
        <f>Scheids!$D$20</f>
        <v>Bas Kers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1</v>
      </c>
      <c r="K15" s="124" t="s">
        <v>294</v>
      </c>
      <c r="L15" s="125">
        <v>2</v>
      </c>
      <c r="M15" s="126" t="str">
        <f>Scheids!$F$20</f>
        <v>Iris Klein Bog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2</v>
      </c>
      <c r="M16" s="126" t="str">
        <f>Scheids!$F$20</f>
        <v>Iris Klein Bog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1</v>
      </c>
      <c r="K17" s="124" t="s">
        <v>294</v>
      </c>
      <c r="L17" s="125">
        <v>2</v>
      </c>
      <c r="M17" s="126" t="str">
        <f>Scheids!$F$20</f>
        <v>Iris Klein Bog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>
        <v>1</v>
      </c>
      <c r="K19" s="124" t="s">
        <v>294</v>
      </c>
      <c r="L19" s="125">
        <v>2</v>
      </c>
      <c r="M19" s="126" t="str">
        <f>Scheids!$D$20</f>
        <v>Bas Kers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>
        <v>1</v>
      </c>
      <c r="K20" s="124" t="s">
        <v>294</v>
      </c>
      <c r="L20" s="125">
        <v>2</v>
      </c>
      <c r="M20" s="126" t="str">
        <f>Scheids!$D$20</f>
        <v>Bas Kers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>
        <v>1</v>
      </c>
      <c r="K21" s="124" t="s">
        <v>294</v>
      </c>
      <c r="L21" s="125">
        <v>2</v>
      </c>
      <c r="M21" s="126" t="str">
        <f>Scheids!$D$20</f>
        <v>Bas Kers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>
        <v>2</v>
      </c>
      <c r="K23" s="124" t="s">
        <v>294</v>
      </c>
      <c r="L23" s="125">
        <v>2</v>
      </c>
      <c r="M23" s="126" t="str">
        <f>Scheids!$F$20</f>
        <v>Iris Klein Bog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>
        <v>4</v>
      </c>
      <c r="K24" s="124" t="s">
        <v>294</v>
      </c>
      <c r="L24" s="125">
        <v>2</v>
      </c>
      <c r="M24" s="126" t="str">
        <f>Scheids!$F$20</f>
        <v>Iris Klein Bog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>
        <v>1</v>
      </c>
      <c r="K25" s="124" t="s">
        <v>294</v>
      </c>
      <c r="L25" s="125">
        <v>2</v>
      </c>
      <c r="M25" s="126" t="str">
        <f>Scheids!$F$20</f>
        <v>Iris Klein Bog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>
        <v>1</v>
      </c>
      <c r="K27" s="124" t="s">
        <v>294</v>
      </c>
      <c r="L27" s="125">
        <v>2</v>
      </c>
      <c r="M27" s="126" t="str">
        <f>Scheids!$D$20</f>
        <v>Bas Kers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>
        <v>1</v>
      </c>
      <c r="K29" s="124" t="s">
        <v>294</v>
      </c>
      <c r="L29" s="125">
        <v>2</v>
      </c>
      <c r="M29" s="126" t="str">
        <f>Scheids!$D$20</f>
        <v>Bas Kers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>
        <v>4</v>
      </c>
      <c r="K30" s="124" t="s">
        <v>294</v>
      </c>
      <c r="L30" s="125">
        <v>2</v>
      </c>
      <c r="M30" s="126" t="str">
        <f>Scheids!$D$20</f>
        <v>Bas Kers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>
        <v>1</v>
      </c>
      <c r="K32" s="124" t="s">
        <v>294</v>
      </c>
      <c r="L32" s="125">
        <v>2</v>
      </c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>
        <v>1</v>
      </c>
      <c r="K33" s="124" t="s">
        <v>294</v>
      </c>
      <c r="L33" s="125">
        <v>2</v>
      </c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>
        <v>1</v>
      </c>
      <c r="K34" s="124" t="s">
        <v>294</v>
      </c>
      <c r="L34" s="125">
        <v>2</v>
      </c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>
        <v>1</v>
      </c>
      <c r="K36" s="124" t="s">
        <v>294</v>
      </c>
      <c r="L36" s="125">
        <v>2</v>
      </c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>
        <v>4</v>
      </c>
      <c r="K37" s="124" t="s">
        <v>294</v>
      </c>
      <c r="L37" s="125">
        <v>2</v>
      </c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>
        <v>1</v>
      </c>
      <c r="K38" s="139" t="s">
        <v>294</v>
      </c>
      <c r="L38" s="140">
        <v>2</v>
      </c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62FB7-D8C5-473A-839F-A310898A4EAF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F8CF2-00EA-4A6F-BD71-BC174DC37CA8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CD34A-831F-4202-BA1C-92960F07FCBD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73CE9-FDC7-46A9-A830-1C1BDE12D1B2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70C99-C26A-4CB8-93B3-BA7773C48357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37DC4-070C-4FD9-9F36-1E291178FAC9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5791-9565-41BC-B4A1-50080FF0B17F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D8F13-BCC1-4349-B2DB-A01585E8A51A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E61B9-D434-4211-A45A-F693DC1591D2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1B389-6D91-4526-B915-60641F18A1B2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3D6E5-3833-432E-9BF0-513024E4FF3D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D79-A5BD-4C07-ADF1-384F939513A8}">
  <sheetPr codeName="Blad32"/>
  <dimension ref="A1:Y55"/>
  <sheetViews>
    <sheetView showGridLines="0" topLeftCell="A6" zoomScale="70" zoomScaleNormal="70" workbookViewId="0">
      <selection activeCell="N28" sqref="N2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3CFA2-D887-4403-9996-C18C4473FE6B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C1FB-339B-49A0-B5F1-6EFEFECBE95D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dcterms:created xsi:type="dcterms:W3CDTF">2026-04-14T18:07:53Z</dcterms:created>
  <dcterms:modified xsi:type="dcterms:W3CDTF">2026-04-14T18:07:55Z</dcterms:modified>
</cp:coreProperties>
</file>