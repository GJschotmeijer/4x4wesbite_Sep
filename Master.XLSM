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7E41F778-76CF-4241-BE15-C1D072F56954}" xr6:coauthVersionLast="47" xr6:coauthVersionMax="47" xr10:uidLastSave="{00000000-0000-0000-0000-000000000000}"/>
  <bookViews>
    <workbookView xWindow="-108" yWindow="-108" windowWidth="16608" windowHeight="8712" xr2:uid="{50640805-9730-48CA-9D6C-CE588A8E0EDD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" i="33" l="1"/>
  <c r="H24" i="33" s="1"/>
  <c r="H29" i="33" s="1"/>
  <c r="H16" i="33"/>
  <c r="E16" i="33"/>
  <c r="H23" i="33" s="1"/>
  <c r="E29" i="33" s="1"/>
  <c r="H15" i="33"/>
  <c r="E23" i="33" s="1"/>
  <c r="E30" i="33" s="1"/>
  <c r="O8" i="33"/>
  <c r="A8" i="33"/>
  <c r="H42" i="32"/>
  <c r="E42" i="32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15" i="33" s="1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O48" i="30" s="1" a="1"/>
  <c r="O48" i="30" s="1"/>
  <c r="X48" i="30" s="1"/>
  <c r="A48" i="30"/>
  <c r="W47" i="30"/>
  <c r="V47" i="30"/>
  <c r="U47" i="30"/>
  <c r="N47" i="30"/>
  <c r="M47" i="30"/>
  <c r="K47" i="30"/>
  <c r="I47" i="30"/>
  <c r="H47" i="30"/>
  <c r="F47" i="30"/>
  <c r="E47" i="30"/>
  <c r="A47" i="30"/>
  <c r="E38" i="30" s="1"/>
  <c r="W46" i="30"/>
  <c r="V46" i="30"/>
  <c r="U46" i="30"/>
  <c r="O46" i="30" a="1"/>
  <c r="O46" i="30" s="1"/>
  <c r="N46" i="30"/>
  <c r="M46" i="30"/>
  <c r="K46" i="30"/>
  <c r="I46" i="30"/>
  <c r="H46" i="30"/>
  <c r="F46" i="30"/>
  <c r="E46" i="30"/>
  <c r="S46" i="30" s="1"/>
  <c r="A46" i="30"/>
  <c r="E36" i="30" s="1"/>
  <c r="W45" i="30"/>
  <c r="V45" i="30"/>
  <c r="U45" i="30"/>
  <c r="N45" i="30"/>
  <c r="M45" i="30"/>
  <c r="K45" i="30"/>
  <c r="I45" i="30"/>
  <c r="H45" i="30"/>
  <c r="F45" i="30"/>
  <c r="E45" i="30"/>
  <c r="A45" i="30"/>
  <c r="W44" i="30"/>
  <c r="V44" i="30"/>
  <c r="U44" i="30"/>
  <c r="N44" i="30"/>
  <c r="S44" i="30" s="1"/>
  <c r="M44" i="30"/>
  <c r="K44" i="30"/>
  <c r="I44" i="30"/>
  <c r="H44" i="30"/>
  <c r="F44" i="30"/>
  <c r="E44" i="30"/>
  <c r="A44" i="30"/>
  <c r="H38" i="30" s="1"/>
  <c r="W43" i="30"/>
  <c r="V43" i="30"/>
  <c r="U43" i="30"/>
  <c r="N43" i="30"/>
  <c r="M43" i="30"/>
  <c r="K43" i="30"/>
  <c r="I43" i="30"/>
  <c r="H43" i="30"/>
  <c r="F43" i="30"/>
  <c r="Q43" i="30" s="1"/>
  <c r="E43" i="30"/>
  <c r="A43" i="30"/>
  <c r="E32" i="30" s="1"/>
  <c r="W42" i="30"/>
  <c r="V42" i="30"/>
  <c r="U42" i="30"/>
  <c r="N42" i="30"/>
  <c r="M42" i="30"/>
  <c r="K42" i="30"/>
  <c r="I42" i="30"/>
  <c r="H42" i="30"/>
  <c r="F42" i="30"/>
  <c r="O42" i="30" s="1" a="1"/>
  <c r="O42" i="30" s="1"/>
  <c r="E42" i="30"/>
  <c r="A42" i="30"/>
  <c r="H19" i="30" s="1"/>
  <c r="W41" i="30"/>
  <c r="V41" i="30"/>
  <c r="U41" i="30"/>
  <c r="N41" i="30"/>
  <c r="M41" i="30"/>
  <c r="K41" i="30"/>
  <c r="I41" i="30"/>
  <c r="H41" i="30"/>
  <c r="F41" i="30"/>
  <c r="E41" i="30"/>
  <c r="T41" i="30" s="1"/>
  <c r="A41" i="30"/>
  <c r="H29" i="30" s="1"/>
  <c r="M38" i="30"/>
  <c r="M37" i="30"/>
  <c r="E37" i="30"/>
  <c r="M36" i="30"/>
  <c r="H36" i="30"/>
  <c r="M34" i="30"/>
  <c r="H34" i="30"/>
  <c r="M33" i="30"/>
  <c r="M32" i="30"/>
  <c r="H32" i="30"/>
  <c r="M30" i="30"/>
  <c r="H30" i="30"/>
  <c r="E30" i="30"/>
  <c r="M29" i="30"/>
  <c r="M27" i="30"/>
  <c r="M25" i="30"/>
  <c r="H25" i="30"/>
  <c r="E25" i="30"/>
  <c r="M24" i="30"/>
  <c r="H24" i="30"/>
  <c r="M23" i="30"/>
  <c r="M21" i="30"/>
  <c r="H21" i="30"/>
  <c r="M20" i="30"/>
  <c r="H20" i="30"/>
  <c r="M19" i="30"/>
  <c r="E19" i="30"/>
  <c r="M17" i="30"/>
  <c r="H17" i="30"/>
  <c r="M16" i="30"/>
  <c r="H16" i="30"/>
  <c r="E16" i="30"/>
  <c r="M15" i="30"/>
  <c r="H15" i="30"/>
  <c r="M13" i="30"/>
  <c r="E13" i="30"/>
  <c r="M12" i="30"/>
  <c r="E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O48" i="29" s="1" a="1"/>
  <c r="O48" i="29" s="1"/>
  <c r="X48" i="29" s="1"/>
  <c r="E48" i="29"/>
  <c r="A48" i="29"/>
  <c r="W47" i="29"/>
  <c r="V47" i="29"/>
  <c r="U47" i="29"/>
  <c r="N47" i="29"/>
  <c r="M47" i="29"/>
  <c r="K47" i="29"/>
  <c r="I47" i="29"/>
  <c r="S47" i="29" s="1"/>
  <c r="H47" i="29"/>
  <c r="F47" i="29"/>
  <c r="E47" i="29"/>
  <c r="A47" i="29"/>
  <c r="W46" i="29"/>
  <c r="V46" i="29"/>
  <c r="U46" i="29"/>
  <c r="N46" i="29"/>
  <c r="M46" i="29"/>
  <c r="K46" i="29"/>
  <c r="I46" i="29"/>
  <c r="H46" i="29"/>
  <c r="F46" i="29"/>
  <c r="E46" i="29"/>
  <c r="A46" i="29"/>
  <c r="E17" i="29" s="1"/>
  <c r="W45" i="29"/>
  <c r="V45" i="29"/>
  <c r="U45" i="29"/>
  <c r="N45" i="29"/>
  <c r="M45" i="29"/>
  <c r="K45" i="29"/>
  <c r="I45" i="29"/>
  <c r="H45" i="29"/>
  <c r="O45" i="29" s="1" a="1"/>
  <c r="O45" i="29" s="1"/>
  <c r="F45" i="29"/>
  <c r="E45" i="29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A44" i="29"/>
  <c r="E19" i="29" s="1"/>
  <c r="W43" i="29"/>
  <c r="V43" i="29"/>
  <c r="U43" i="29"/>
  <c r="N43" i="29"/>
  <c r="M43" i="29"/>
  <c r="K43" i="29"/>
  <c r="I43" i="29"/>
  <c r="H43" i="29"/>
  <c r="F43" i="29"/>
  <c r="E43" i="29"/>
  <c r="R43" i="29" s="1"/>
  <c r="A43" i="29"/>
  <c r="E32" i="29" s="1"/>
  <c r="W42" i="29"/>
  <c r="V42" i="29"/>
  <c r="U42" i="29"/>
  <c r="N42" i="29"/>
  <c r="M42" i="29"/>
  <c r="K42" i="29"/>
  <c r="I42" i="29"/>
  <c r="S42" i="29" s="1"/>
  <c r="H42" i="29"/>
  <c r="F42" i="29"/>
  <c r="E42" i="29"/>
  <c r="A42" i="29"/>
  <c r="H37" i="29" s="1"/>
  <c r="W41" i="29"/>
  <c r="V41" i="29"/>
  <c r="U41" i="29"/>
  <c r="O41" i="29" a="1"/>
  <c r="O41" i="29" s="1"/>
  <c r="N41" i="29"/>
  <c r="M41" i="29"/>
  <c r="K41" i="29"/>
  <c r="I41" i="29"/>
  <c r="H41" i="29"/>
  <c r="F41" i="29"/>
  <c r="S41" i="29" s="1"/>
  <c r="E41" i="29"/>
  <c r="A41" i="29"/>
  <c r="E34" i="29" s="1"/>
  <c r="M38" i="29"/>
  <c r="E38" i="29"/>
  <c r="M37" i="29"/>
  <c r="M36" i="29"/>
  <c r="E36" i="29"/>
  <c r="M34" i="29"/>
  <c r="M33" i="29"/>
  <c r="M32" i="29"/>
  <c r="H32" i="29"/>
  <c r="M30" i="29"/>
  <c r="E30" i="29"/>
  <c r="M29" i="29"/>
  <c r="M27" i="29"/>
  <c r="H27" i="29"/>
  <c r="E27" i="29"/>
  <c r="M25" i="29"/>
  <c r="H25" i="29"/>
  <c r="E25" i="29"/>
  <c r="M24" i="29"/>
  <c r="M23" i="29"/>
  <c r="H23" i="29"/>
  <c r="M21" i="29"/>
  <c r="H21" i="29"/>
  <c r="M20" i="29"/>
  <c r="E20" i="29"/>
  <c r="M19" i="29"/>
  <c r="M17" i="29"/>
  <c r="H17" i="29"/>
  <c r="M16" i="29"/>
  <c r="M15" i="29"/>
  <c r="H15" i="29"/>
  <c r="M13" i="29"/>
  <c r="H13" i="29"/>
  <c r="M12" i="29"/>
  <c r="H12" i="29"/>
  <c r="E12" i="29"/>
  <c r="M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O48" i="28" s="1" a="1"/>
  <c r="O48" i="28" s="1"/>
  <c r="X48" i="28" s="1"/>
  <c r="A48" i="28"/>
  <c r="W47" i="28"/>
  <c r="V47" i="28"/>
  <c r="U47" i="28"/>
  <c r="N47" i="28"/>
  <c r="M47" i="28"/>
  <c r="K47" i="28"/>
  <c r="I47" i="28"/>
  <c r="S47" i="28" s="1"/>
  <c r="H47" i="28"/>
  <c r="F47" i="28"/>
  <c r="E47" i="28"/>
  <c r="A47" i="28"/>
  <c r="W46" i="28"/>
  <c r="V46" i="28"/>
  <c r="U46" i="28"/>
  <c r="N46" i="28"/>
  <c r="M46" i="28"/>
  <c r="K46" i="28"/>
  <c r="I46" i="28"/>
  <c r="H46" i="28"/>
  <c r="F46" i="28"/>
  <c r="E46" i="28"/>
  <c r="A46" i="28"/>
  <c r="E36" i="28" s="1"/>
  <c r="W45" i="28"/>
  <c r="V45" i="28"/>
  <c r="U45" i="28"/>
  <c r="N45" i="28"/>
  <c r="M45" i="28"/>
  <c r="K45" i="28"/>
  <c r="I45" i="28"/>
  <c r="H45" i="28"/>
  <c r="O45" i="28" s="1" a="1"/>
  <c r="O45" i="28" s="1"/>
  <c r="F45" i="28"/>
  <c r="E45" i="28"/>
  <c r="A45" i="28"/>
  <c r="H20" i="28" s="1"/>
  <c r="W44" i="28"/>
  <c r="V44" i="28"/>
  <c r="U44" i="28"/>
  <c r="N44" i="28"/>
  <c r="M44" i="28"/>
  <c r="K44" i="28"/>
  <c r="I44" i="28"/>
  <c r="H44" i="28"/>
  <c r="F44" i="28"/>
  <c r="E44" i="28"/>
  <c r="A44" i="28"/>
  <c r="E19" i="28" s="1"/>
  <c r="W43" i="28"/>
  <c r="V43" i="28"/>
  <c r="U43" i="28"/>
  <c r="N43" i="28"/>
  <c r="M43" i="28"/>
  <c r="K43" i="28"/>
  <c r="I43" i="28"/>
  <c r="H43" i="28"/>
  <c r="F43" i="28"/>
  <c r="E43" i="28"/>
  <c r="R43" i="28" s="1"/>
  <c r="A43" i="28"/>
  <c r="E27" i="28" s="1"/>
  <c r="W42" i="28"/>
  <c r="V42" i="28"/>
  <c r="U42" i="28"/>
  <c r="N42" i="28"/>
  <c r="M42" i="28"/>
  <c r="K42" i="28"/>
  <c r="I42" i="28"/>
  <c r="H42" i="28"/>
  <c r="F42" i="28"/>
  <c r="E42" i="28"/>
  <c r="A42" i="28"/>
  <c r="H19" i="28" s="1"/>
  <c r="W41" i="28"/>
  <c r="V41" i="28"/>
  <c r="U41" i="28"/>
  <c r="O41" i="28" a="1"/>
  <c r="O41" i="28" s="1"/>
  <c r="N41" i="28"/>
  <c r="M41" i="28"/>
  <c r="K41" i="28"/>
  <c r="I41" i="28"/>
  <c r="H41" i="28"/>
  <c r="F41" i="28"/>
  <c r="S41" i="28" s="1"/>
  <c r="E41" i="28"/>
  <c r="A41" i="28"/>
  <c r="E34" i="28" s="1"/>
  <c r="M38" i="28"/>
  <c r="E38" i="28"/>
  <c r="M37" i="28"/>
  <c r="M36" i="28"/>
  <c r="M34" i="28"/>
  <c r="M33" i="28"/>
  <c r="H33" i="28"/>
  <c r="M32" i="28"/>
  <c r="H32" i="28"/>
  <c r="E32" i="28"/>
  <c r="M30" i="28"/>
  <c r="E30" i="28"/>
  <c r="M29" i="28"/>
  <c r="E29" i="28"/>
  <c r="M27" i="28"/>
  <c r="M25" i="28"/>
  <c r="H25" i="28"/>
  <c r="E25" i="28"/>
  <c r="M24" i="28"/>
  <c r="H24" i="28"/>
  <c r="M23" i="28"/>
  <c r="M21" i="28"/>
  <c r="H21" i="28"/>
  <c r="M20" i="28"/>
  <c r="E20" i="28"/>
  <c r="M19" i="28"/>
  <c r="M17" i="28"/>
  <c r="H17" i="28"/>
  <c r="E17" i="28"/>
  <c r="M16" i="28"/>
  <c r="M15" i="28"/>
  <c r="H15" i="28"/>
  <c r="M13" i="28"/>
  <c r="H13" i="28"/>
  <c r="M12" i="28"/>
  <c r="M11" i="28"/>
  <c r="H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E48" i="27"/>
  <c r="A48" i="27"/>
  <c r="W47" i="27"/>
  <c r="V47" i="27"/>
  <c r="U47" i="27"/>
  <c r="S47" i="27"/>
  <c r="N47" i="27"/>
  <c r="M47" i="27"/>
  <c r="K47" i="27"/>
  <c r="I47" i="27"/>
  <c r="H47" i="27"/>
  <c r="F47" i="27"/>
  <c r="R47" i="27" s="1"/>
  <c r="E47" i="27"/>
  <c r="A47" i="27"/>
  <c r="E30" i="27" s="1"/>
  <c r="W46" i="27"/>
  <c r="V46" i="27"/>
  <c r="U46" i="27"/>
  <c r="N46" i="27"/>
  <c r="M46" i="27"/>
  <c r="K46" i="27"/>
  <c r="I46" i="27"/>
  <c r="H46" i="27"/>
  <c r="F46" i="27"/>
  <c r="E46" i="27"/>
  <c r="A46" i="27"/>
  <c r="E24" i="27" s="1"/>
  <c r="W45" i="27"/>
  <c r="V45" i="27"/>
  <c r="U45" i="27"/>
  <c r="N45" i="27"/>
  <c r="M45" i="27"/>
  <c r="K45" i="27"/>
  <c r="I45" i="27"/>
  <c r="H45" i="27"/>
  <c r="F45" i="27"/>
  <c r="E45" i="27"/>
  <c r="O45" i="27" s="1" a="1"/>
  <c r="O45" i="27" s="1"/>
  <c r="A45" i="27"/>
  <c r="H20" i="27" s="1"/>
  <c r="W44" i="27"/>
  <c r="V44" i="27"/>
  <c r="U44" i="27"/>
  <c r="N44" i="27"/>
  <c r="M44" i="27"/>
  <c r="K44" i="27"/>
  <c r="I44" i="27"/>
  <c r="H44" i="27"/>
  <c r="F44" i="27"/>
  <c r="O44" i="27" s="1" a="1"/>
  <c r="O44" i="27" s="1"/>
  <c r="E44" i="27"/>
  <c r="A44" i="27"/>
  <c r="E16" i="27" s="1"/>
  <c r="W43" i="27"/>
  <c r="V43" i="27"/>
  <c r="U43" i="27"/>
  <c r="N43" i="27"/>
  <c r="M43" i="27"/>
  <c r="S43" i="27" s="1"/>
  <c r="K43" i="27"/>
  <c r="I43" i="27"/>
  <c r="H43" i="27"/>
  <c r="F43" i="27"/>
  <c r="E43" i="27"/>
  <c r="A43" i="27"/>
  <c r="E27" i="27" s="1"/>
  <c r="W42" i="27"/>
  <c r="V42" i="27"/>
  <c r="U42" i="27"/>
  <c r="N42" i="27"/>
  <c r="M42" i="27"/>
  <c r="K42" i="27"/>
  <c r="I42" i="27"/>
  <c r="H42" i="27"/>
  <c r="F42" i="27"/>
  <c r="E42" i="27"/>
  <c r="T42" i="27" s="1"/>
  <c r="A42" i="27"/>
  <c r="H37" i="27" s="1"/>
  <c r="W41" i="27"/>
  <c r="V41" i="27"/>
  <c r="U41" i="27"/>
  <c r="N41" i="27"/>
  <c r="M41" i="27"/>
  <c r="K41" i="27"/>
  <c r="I41" i="27"/>
  <c r="H41" i="27"/>
  <c r="F41" i="27"/>
  <c r="E41" i="27"/>
  <c r="O41" i="27" s="1" a="1"/>
  <c r="O41" i="27" s="1"/>
  <c r="A41" i="27"/>
  <c r="H36" i="27" s="1"/>
  <c r="M38" i="27"/>
  <c r="H38" i="27"/>
  <c r="E38" i="27"/>
  <c r="M37" i="27"/>
  <c r="M36" i="27"/>
  <c r="E36" i="27"/>
  <c r="M34" i="27"/>
  <c r="M33" i="27"/>
  <c r="H33" i="27"/>
  <c r="M32" i="27"/>
  <c r="H32" i="27"/>
  <c r="M30" i="27"/>
  <c r="M29" i="27"/>
  <c r="E29" i="27"/>
  <c r="M27" i="27"/>
  <c r="H27" i="27"/>
  <c r="M25" i="27"/>
  <c r="M24" i="27"/>
  <c r="H24" i="27"/>
  <c r="M23" i="27"/>
  <c r="M21" i="27"/>
  <c r="H21" i="27"/>
  <c r="M20" i="27"/>
  <c r="M19" i="27"/>
  <c r="H19" i="27"/>
  <c r="M17" i="27"/>
  <c r="E17" i="27"/>
  <c r="M16" i="27"/>
  <c r="M15" i="27"/>
  <c r="E15" i="27"/>
  <c r="M13" i="27"/>
  <c r="H13" i="27"/>
  <c r="M12" i="27"/>
  <c r="E12" i="27"/>
  <c r="M11" i="27"/>
  <c r="H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T48" i="26" s="1"/>
  <c r="A48" i="26"/>
  <c r="W47" i="26"/>
  <c r="V47" i="26"/>
  <c r="U47" i="26"/>
  <c r="N47" i="26"/>
  <c r="M47" i="26"/>
  <c r="K47" i="26"/>
  <c r="I47" i="26"/>
  <c r="H47" i="26"/>
  <c r="F47" i="26"/>
  <c r="E47" i="26"/>
  <c r="S47" i="26" s="1"/>
  <c r="A47" i="26"/>
  <c r="W46" i="26"/>
  <c r="V46" i="26"/>
  <c r="U46" i="26"/>
  <c r="N46" i="26"/>
  <c r="M46" i="26"/>
  <c r="K46" i="26"/>
  <c r="I46" i="26"/>
  <c r="H46" i="26"/>
  <c r="F46" i="26"/>
  <c r="E46" i="26"/>
  <c r="A46" i="26"/>
  <c r="E36" i="26" s="1"/>
  <c r="W45" i="26"/>
  <c r="V45" i="26"/>
  <c r="U45" i="26"/>
  <c r="N45" i="26"/>
  <c r="M45" i="26"/>
  <c r="K45" i="26"/>
  <c r="I45" i="26"/>
  <c r="H45" i="26"/>
  <c r="O45" i="26" s="1" a="1"/>
  <c r="O45" i="26" s="1"/>
  <c r="F45" i="26"/>
  <c r="E45" i="26"/>
  <c r="A45" i="26"/>
  <c r="H20" i="26" s="1"/>
  <c r="W44" i="26"/>
  <c r="V44" i="26"/>
  <c r="U44" i="26"/>
  <c r="N44" i="26"/>
  <c r="M44" i="26"/>
  <c r="K44" i="26"/>
  <c r="I44" i="26"/>
  <c r="H44" i="26"/>
  <c r="F44" i="26"/>
  <c r="E44" i="26"/>
  <c r="A44" i="26"/>
  <c r="E16" i="26" s="1"/>
  <c r="W43" i="26"/>
  <c r="V43" i="26"/>
  <c r="U43" i="26"/>
  <c r="N43" i="26"/>
  <c r="M43" i="26"/>
  <c r="K43" i="26"/>
  <c r="I43" i="26"/>
  <c r="H43" i="26"/>
  <c r="F43" i="26"/>
  <c r="E43" i="26"/>
  <c r="R43" i="26" s="1"/>
  <c r="A43" i="26"/>
  <c r="E27" i="26" s="1"/>
  <c r="W42" i="26"/>
  <c r="V42" i="26"/>
  <c r="U42" i="26"/>
  <c r="N42" i="26"/>
  <c r="M42" i="26"/>
  <c r="K42" i="26"/>
  <c r="I42" i="26"/>
  <c r="S42" i="26" s="1"/>
  <c r="H42" i="26"/>
  <c r="F42" i="26"/>
  <c r="E42" i="26"/>
  <c r="A42" i="26"/>
  <c r="H19" i="26" s="1"/>
  <c r="W41" i="26"/>
  <c r="V41" i="26"/>
  <c r="U41" i="26"/>
  <c r="O41" i="26" a="1"/>
  <c r="O41" i="26" s="1"/>
  <c r="N41" i="26"/>
  <c r="M41" i="26"/>
  <c r="K41" i="26"/>
  <c r="I41" i="26"/>
  <c r="H41" i="26"/>
  <c r="F41" i="26"/>
  <c r="S41" i="26" s="1"/>
  <c r="E41" i="26"/>
  <c r="A41" i="26"/>
  <c r="H36" i="26" s="1"/>
  <c r="M38" i="26"/>
  <c r="E38" i="26"/>
  <c r="M37" i="26"/>
  <c r="M36" i="26"/>
  <c r="M34" i="26"/>
  <c r="M33" i="26"/>
  <c r="H33" i="26"/>
  <c r="M32" i="26"/>
  <c r="H32" i="26"/>
  <c r="E32" i="26"/>
  <c r="M30" i="26"/>
  <c r="E30" i="26"/>
  <c r="M29" i="26"/>
  <c r="E29" i="26"/>
  <c r="M27" i="26"/>
  <c r="M25" i="26"/>
  <c r="H25" i="26"/>
  <c r="E25" i="26"/>
  <c r="M24" i="26"/>
  <c r="M23" i="26"/>
  <c r="M21" i="26"/>
  <c r="H21" i="26"/>
  <c r="M20" i="26"/>
  <c r="M19" i="26"/>
  <c r="M17" i="26"/>
  <c r="H17" i="26"/>
  <c r="E17" i="26"/>
  <c r="M16" i="26"/>
  <c r="M15" i="26"/>
  <c r="M13" i="26"/>
  <c r="M12" i="26"/>
  <c r="E12" i="26"/>
  <c r="M11" i="26"/>
  <c r="H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N47" i="25"/>
  <c r="M47" i="25"/>
  <c r="K47" i="25"/>
  <c r="I47" i="25"/>
  <c r="H47" i="25"/>
  <c r="S47" i="25" s="1"/>
  <c r="F47" i="25"/>
  <c r="E47" i="25"/>
  <c r="A47" i="25"/>
  <c r="E38" i="25" s="1"/>
  <c r="W46" i="25"/>
  <c r="V46" i="25"/>
  <c r="U46" i="25"/>
  <c r="N46" i="25"/>
  <c r="M46" i="25"/>
  <c r="K46" i="25"/>
  <c r="I46" i="25"/>
  <c r="H46" i="25"/>
  <c r="F46" i="25"/>
  <c r="E46" i="25"/>
  <c r="A46" i="25"/>
  <c r="H27" i="25" s="1"/>
  <c r="W45" i="25"/>
  <c r="V45" i="25"/>
  <c r="U45" i="25"/>
  <c r="N45" i="25"/>
  <c r="M45" i="25"/>
  <c r="K45" i="25"/>
  <c r="I45" i="25"/>
  <c r="H45" i="25"/>
  <c r="F45" i="25"/>
  <c r="E45" i="25"/>
  <c r="O45" i="25" s="1" a="1"/>
  <c r="O45" i="25" s="1"/>
  <c r="A45" i="25"/>
  <c r="H20" i="25" s="1"/>
  <c r="W44" i="25"/>
  <c r="V44" i="25"/>
  <c r="U44" i="25"/>
  <c r="N44" i="25"/>
  <c r="M44" i="25"/>
  <c r="K44" i="25"/>
  <c r="I44" i="25"/>
  <c r="H44" i="25"/>
  <c r="F44" i="25"/>
  <c r="E44" i="25"/>
  <c r="A44" i="25"/>
  <c r="E16" i="25" s="1"/>
  <c r="W43" i="25"/>
  <c r="V43" i="25"/>
  <c r="U43" i="25"/>
  <c r="N43" i="25"/>
  <c r="M43" i="25"/>
  <c r="K43" i="25"/>
  <c r="I43" i="25"/>
  <c r="H43" i="25"/>
  <c r="F43" i="25"/>
  <c r="E43" i="25"/>
  <c r="R43" i="25" s="1"/>
  <c r="A43" i="25"/>
  <c r="E27" i="25" s="1"/>
  <c r="W42" i="25"/>
  <c r="V42" i="25"/>
  <c r="U42" i="25"/>
  <c r="N42" i="25"/>
  <c r="M42" i="25"/>
  <c r="K42" i="25"/>
  <c r="I42" i="25"/>
  <c r="H42" i="25"/>
  <c r="F42" i="25"/>
  <c r="E42" i="25"/>
  <c r="A42" i="25"/>
  <c r="H37" i="25" s="1"/>
  <c r="W41" i="25"/>
  <c r="V41" i="25"/>
  <c r="U41" i="25"/>
  <c r="N41" i="25"/>
  <c r="O41" i="25" s="1" a="1"/>
  <c r="O41" i="25" s="1"/>
  <c r="M41" i="25"/>
  <c r="K41" i="25"/>
  <c r="I41" i="25"/>
  <c r="H41" i="25"/>
  <c r="F41" i="25"/>
  <c r="E41" i="25"/>
  <c r="A41" i="25"/>
  <c r="H29" i="25" s="1"/>
  <c r="M38" i="25"/>
  <c r="H38" i="25"/>
  <c r="M37" i="25"/>
  <c r="M36" i="25"/>
  <c r="E36" i="25"/>
  <c r="M34" i="25"/>
  <c r="M33" i="25"/>
  <c r="M32" i="25"/>
  <c r="H32" i="25"/>
  <c r="M30" i="25"/>
  <c r="E30" i="25"/>
  <c r="M29" i="25"/>
  <c r="E29" i="25"/>
  <c r="M27" i="25"/>
  <c r="M25" i="25"/>
  <c r="H25" i="25"/>
  <c r="E25" i="25"/>
  <c r="M24" i="25"/>
  <c r="H24" i="25"/>
  <c r="M23" i="25"/>
  <c r="M21" i="25"/>
  <c r="H21" i="25"/>
  <c r="M20" i="25"/>
  <c r="M19" i="25"/>
  <c r="H19" i="25"/>
  <c r="M17" i="25"/>
  <c r="H17" i="25"/>
  <c r="M16" i="25"/>
  <c r="M15" i="25"/>
  <c r="E15" i="25"/>
  <c r="M13" i="25"/>
  <c r="H13" i="25"/>
  <c r="M12" i="25"/>
  <c r="M11" i="25"/>
  <c r="H11" i="25"/>
  <c r="K8" i="25"/>
  <c r="I8" i="25"/>
  <c r="E8" i="25"/>
  <c r="W48" i="24"/>
  <c r="V48" i="24"/>
  <c r="U48" i="24"/>
  <c r="N48" i="24"/>
  <c r="M48" i="24"/>
  <c r="K48" i="24"/>
  <c r="I48" i="24"/>
  <c r="H48" i="24"/>
  <c r="S48" i="24" s="1"/>
  <c r="F48" i="24"/>
  <c r="E48" i="24"/>
  <c r="A48" i="24"/>
  <c r="W47" i="24"/>
  <c r="V47" i="24"/>
  <c r="U47" i="24"/>
  <c r="N47" i="24"/>
  <c r="M47" i="24"/>
  <c r="K47" i="24"/>
  <c r="I47" i="24"/>
  <c r="H47" i="24"/>
  <c r="F47" i="24"/>
  <c r="Q47" i="24" s="1"/>
  <c r="E47" i="24"/>
  <c r="A47" i="24"/>
  <c r="E38" i="24" s="1"/>
  <c r="W46" i="24"/>
  <c r="V46" i="24"/>
  <c r="U46" i="24"/>
  <c r="N46" i="24"/>
  <c r="M46" i="24"/>
  <c r="K46" i="24"/>
  <c r="I46" i="24"/>
  <c r="H46" i="24"/>
  <c r="F46" i="24"/>
  <c r="E46" i="24"/>
  <c r="A46" i="24"/>
  <c r="E36" i="24" s="1"/>
  <c r="W45" i="24"/>
  <c r="V45" i="24"/>
  <c r="U45" i="24"/>
  <c r="N45" i="24"/>
  <c r="M45" i="24"/>
  <c r="K45" i="24"/>
  <c r="I45" i="24"/>
  <c r="H45" i="24"/>
  <c r="F45" i="24"/>
  <c r="E45" i="24"/>
  <c r="T45" i="24" s="1"/>
  <c r="A45" i="24"/>
  <c r="H20" i="24" s="1"/>
  <c r="W44" i="24"/>
  <c r="V44" i="24"/>
  <c r="U44" i="24"/>
  <c r="N44" i="24"/>
  <c r="M44" i="24"/>
  <c r="K44" i="24"/>
  <c r="I44" i="24"/>
  <c r="S44" i="24" s="1"/>
  <c r="H44" i="24"/>
  <c r="F44" i="24"/>
  <c r="E44" i="24"/>
  <c r="A44" i="24"/>
  <c r="E29" i="24" s="1"/>
  <c r="W43" i="24"/>
  <c r="V43" i="24"/>
  <c r="U43" i="24"/>
  <c r="N43" i="24"/>
  <c r="M43" i="24"/>
  <c r="K43" i="24"/>
  <c r="I43" i="24"/>
  <c r="H43" i="24"/>
  <c r="F43" i="24"/>
  <c r="E43" i="24"/>
  <c r="A43" i="24"/>
  <c r="E27" i="24" s="1"/>
  <c r="W42" i="24"/>
  <c r="V42" i="24"/>
  <c r="U42" i="24"/>
  <c r="N42" i="24"/>
  <c r="M42" i="24"/>
  <c r="K42" i="24"/>
  <c r="I42" i="24"/>
  <c r="H42" i="24"/>
  <c r="O42" i="24" s="1" a="1"/>
  <c r="O42" i="24" s="1"/>
  <c r="X42" i="24" s="1"/>
  <c r="F42" i="24"/>
  <c r="E42" i="24"/>
  <c r="A42" i="24"/>
  <c r="H19" i="24" s="1"/>
  <c r="W41" i="24"/>
  <c r="V41" i="24"/>
  <c r="U41" i="24"/>
  <c r="N41" i="24"/>
  <c r="M41" i="24"/>
  <c r="K41" i="24"/>
  <c r="I41" i="24"/>
  <c r="H41" i="24"/>
  <c r="F41" i="24"/>
  <c r="E41" i="24"/>
  <c r="A41" i="24"/>
  <c r="E34" i="24" s="1"/>
  <c r="M38" i="24"/>
  <c r="H38" i="24"/>
  <c r="M37" i="24"/>
  <c r="E37" i="24"/>
  <c r="M36" i="24"/>
  <c r="H36" i="24"/>
  <c r="M34" i="24"/>
  <c r="M33" i="24"/>
  <c r="M32" i="24"/>
  <c r="E32" i="24"/>
  <c r="M30" i="24"/>
  <c r="H30" i="24"/>
  <c r="M29" i="24"/>
  <c r="M27" i="24"/>
  <c r="M25" i="24"/>
  <c r="H25" i="24"/>
  <c r="E25" i="24"/>
  <c r="M24" i="24"/>
  <c r="M23" i="24"/>
  <c r="H23" i="24"/>
  <c r="M21" i="24"/>
  <c r="H21" i="24"/>
  <c r="M20" i="24"/>
  <c r="E20" i="24"/>
  <c r="M19" i="24"/>
  <c r="M17" i="24"/>
  <c r="H17" i="24"/>
  <c r="M16" i="24"/>
  <c r="H16" i="24"/>
  <c r="M15" i="24"/>
  <c r="M13" i="24"/>
  <c r="E13" i="24"/>
  <c r="M12" i="24"/>
  <c r="E12" i="24"/>
  <c r="M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A48" i="23"/>
  <c r="W47" i="23"/>
  <c r="V47" i="23"/>
  <c r="U47" i="23"/>
  <c r="N47" i="23"/>
  <c r="M47" i="23"/>
  <c r="K47" i="23"/>
  <c r="I47" i="23"/>
  <c r="H47" i="23"/>
  <c r="F47" i="23"/>
  <c r="E47" i="23"/>
  <c r="A47" i="23"/>
  <c r="H17" i="23" s="1"/>
  <c r="W46" i="23"/>
  <c r="V46" i="23"/>
  <c r="U46" i="23"/>
  <c r="N46" i="23"/>
  <c r="M46" i="23"/>
  <c r="K46" i="23"/>
  <c r="I46" i="23"/>
  <c r="S46" i="23" s="1"/>
  <c r="H46" i="23"/>
  <c r="F46" i="23"/>
  <c r="E46" i="23"/>
  <c r="A46" i="23"/>
  <c r="H27" i="23" s="1"/>
  <c r="W45" i="23"/>
  <c r="V45" i="23"/>
  <c r="U45" i="23"/>
  <c r="O45" i="23" a="1"/>
  <c r="O45" i="23" s="1"/>
  <c r="X45" i="23" s="1"/>
  <c r="N45" i="23"/>
  <c r="M45" i="23"/>
  <c r="K45" i="23"/>
  <c r="I45" i="23"/>
  <c r="S45" i="23" s="1"/>
  <c r="H45" i="23"/>
  <c r="F45" i="23"/>
  <c r="E45" i="23"/>
  <c r="A45" i="23"/>
  <c r="H20" i="23" s="1"/>
  <c r="W44" i="23"/>
  <c r="V44" i="23"/>
  <c r="U44" i="23"/>
  <c r="N44" i="23"/>
  <c r="M44" i="23"/>
  <c r="K44" i="23"/>
  <c r="I44" i="23"/>
  <c r="H44" i="23"/>
  <c r="F44" i="23"/>
  <c r="E44" i="23"/>
  <c r="A44" i="23"/>
  <c r="E16" i="23" s="1"/>
  <c r="W43" i="23"/>
  <c r="V43" i="23"/>
  <c r="U43" i="23"/>
  <c r="N43" i="23"/>
  <c r="M43" i="23"/>
  <c r="K43" i="23"/>
  <c r="I43" i="23"/>
  <c r="H43" i="23"/>
  <c r="F43" i="23"/>
  <c r="E43" i="23"/>
  <c r="A43" i="23"/>
  <c r="E27" i="23" s="1"/>
  <c r="W42" i="23"/>
  <c r="V42" i="23"/>
  <c r="U42" i="23"/>
  <c r="N42" i="23"/>
  <c r="M42" i="23"/>
  <c r="K42" i="23"/>
  <c r="I42" i="23"/>
  <c r="H42" i="23"/>
  <c r="F42" i="23"/>
  <c r="E42" i="23"/>
  <c r="A42" i="23"/>
  <c r="H37" i="23" s="1"/>
  <c r="W41" i="23"/>
  <c r="V41" i="23"/>
  <c r="U41" i="23"/>
  <c r="N41" i="23"/>
  <c r="M41" i="23"/>
  <c r="K41" i="23"/>
  <c r="I41" i="23"/>
  <c r="H41" i="23"/>
  <c r="F41" i="23"/>
  <c r="E41" i="23"/>
  <c r="O41" i="23" s="1" a="1"/>
  <c r="O41" i="23" s="1"/>
  <c r="X41" i="23" s="1"/>
  <c r="A41" i="23"/>
  <c r="H36" i="23" s="1"/>
  <c r="M38" i="23"/>
  <c r="E38" i="23"/>
  <c r="M37" i="23"/>
  <c r="M36" i="23"/>
  <c r="M34" i="23"/>
  <c r="M33" i="23"/>
  <c r="M32" i="23"/>
  <c r="H32" i="23"/>
  <c r="E32" i="23"/>
  <c r="M30" i="23"/>
  <c r="E30" i="23"/>
  <c r="M29" i="23"/>
  <c r="M27" i="23"/>
  <c r="M25" i="23"/>
  <c r="H25" i="23"/>
  <c r="E25" i="23"/>
  <c r="M24" i="23"/>
  <c r="H24" i="23"/>
  <c r="M23" i="23"/>
  <c r="M21" i="23"/>
  <c r="H21" i="23"/>
  <c r="M20" i="23"/>
  <c r="E20" i="23"/>
  <c r="M19" i="23"/>
  <c r="H19" i="23"/>
  <c r="M17" i="23"/>
  <c r="M16" i="23"/>
  <c r="M15" i="23"/>
  <c r="E15" i="23"/>
  <c r="M13" i="23"/>
  <c r="H13" i="23"/>
  <c r="M12" i="23"/>
  <c r="E12" i="23"/>
  <c r="M11" i="23"/>
  <c r="H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A48" i="22"/>
  <c r="W47" i="22"/>
  <c r="V47" i="22"/>
  <c r="U47" i="22"/>
  <c r="N47" i="22"/>
  <c r="M47" i="22"/>
  <c r="K47" i="22"/>
  <c r="I47" i="22"/>
  <c r="H47" i="22"/>
  <c r="F47" i="22"/>
  <c r="E47" i="22"/>
  <c r="A47" i="22"/>
  <c r="H32" i="22" s="1"/>
  <c r="W46" i="22"/>
  <c r="V46" i="22"/>
  <c r="U46" i="22"/>
  <c r="N46" i="22"/>
  <c r="M46" i="22"/>
  <c r="K46" i="22"/>
  <c r="I46" i="22"/>
  <c r="H46" i="22"/>
  <c r="F46" i="22"/>
  <c r="E46" i="22"/>
  <c r="A46" i="22"/>
  <c r="E36" i="22" s="1"/>
  <c r="W45" i="22"/>
  <c r="V45" i="22"/>
  <c r="U45" i="22"/>
  <c r="N45" i="22"/>
  <c r="M45" i="22"/>
  <c r="K45" i="22"/>
  <c r="I45" i="22"/>
  <c r="H45" i="22"/>
  <c r="F45" i="22"/>
  <c r="E45" i="22"/>
  <c r="A45" i="22"/>
  <c r="H20" i="22" s="1"/>
  <c r="W44" i="22"/>
  <c r="V44" i="22"/>
  <c r="U44" i="22"/>
  <c r="N44" i="22"/>
  <c r="M44" i="22"/>
  <c r="K44" i="22"/>
  <c r="I44" i="22"/>
  <c r="H44" i="22"/>
  <c r="F44" i="22"/>
  <c r="O44" i="22" s="1" a="1"/>
  <c r="O44" i="22" s="1"/>
  <c r="E44" i="22"/>
  <c r="A44" i="22"/>
  <c r="W43" i="22"/>
  <c r="V43" i="22"/>
  <c r="U43" i="22"/>
  <c r="N43" i="22"/>
  <c r="M43" i="22"/>
  <c r="K43" i="22"/>
  <c r="I43" i="22"/>
  <c r="H43" i="22"/>
  <c r="F43" i="22"/>
  <c r="E43" i="22"/>
  <c r="A43" i="22"/>
  <c r="E32" i="22" s="1"/>
  <c r="W42" i="22"/>
  <c r="V42" i="22"/>
  <c r="U42" i="22"/>
  <c r="N42" i="22"/>
  <c r="M42" i="22"/>
  <c r="K42" i="22"/>
  <c r="I42" i="22"/>
  <c r="H42" i="22"/>
  <c r="F42" i="22"/>
  <c r="E42" i="22"/>
  <c r="A42" i="22"/>
  <c r="W41" i="22"/>
  <c r="V41" i="22"/>
  <c r="U41" i="22"/>
  <c r="N41" i="22"/>
  <c r="M41" i="22"/>
  <c r="K41" i="22"/>
  <c r="I41" i="22"/>
  <c r="O41" i="22" s="1" a="1"/>
  <c r="O41" i="22" s="1"/>
  <c r="H41" i="22"/>
  <c r="F41" i="22"/>
  <c r="E41" i="22"/>
  <c r="A41" i="22"/>
  <c r="H36" i="22" s="1"/>
  <c r="M38" i="22"/>
  <c r="H38" i="22"/>
  <c r="M37" i="22"/>
  <c r="M36" i="22"/>
  <c r="M34" i="22"/>
  <c r="M33" i="22"/>
  <c r="H33" i="22"/>
  <c r="M32" i="22"/>
  <c r="M30" i="22"/>
  <c r="E30" i="22"/>
  <c r="M29" i="22"/>
  <c r="E29" i="22"/>
  <c r="M27" i="22"/>
  <c r="H27" i="22"/>
  <c r="E27" i="22"/>
  <c r="M25" i="22"/>
  <c r="E25" i="22"/>
  <c r="M24" i="22"/>
  <c r="H24" i="22"/>
  <c r="E24" i="22"/>
  <c r="M23" i="22"/>
  <c r="H23" i="22"/>
  <c r="M21" i="22"/>
  <c r="M20" i="22"/>
  <c r="M19" i="22"/>
  <c r="E19" i="22"/>
  <c r="M17" i="22"/>
  <c r="H17" i="22"/>
  <c r="M16" i="22"/>
  <c r="E16" i="22"/>
  <c r="M15" i="22"/>
  <c r="H15" i="22"/>
  <c r="M13" i="22"/>
  <c r="H13" i="22"/>
  <c r="M12" i="22"/>
  <c r="H12" i="22"/>
  <c r="E12" i="22"/>
  <c r="M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A48" i="21"/>
  <c r="W47" i="21"/>
  <c r="V47" i="21"/>
  <c r="U47" i="21"/>
  <c r="N47" i="21"/>
  <c r="M47" i="21"/>
  <c r="K47" i="21"/>
  <c r="I47" i="21"/>
  <c r="H47" i="21"/>
  <c r="F47" i="21"/>
  <c r="E47" i="21"/>
  <c r="A47" i="21"/>
  <c r="H25" i="21" s="1"/>
  <c r="W46" i="21"/>
  <c r="V46" i="21"/>
  <c r="U46" i="21"/>
  <c r="O46" i="21" a="1"/>
  <c r="O46" i="21" s="1"/>
  <c r="N46" i="21"/>
  <c r="M46" i="21"/>
  <c r="K46" i="21"/>
  <c r="I46" i="21"/>
  <c r="H46" i="21"/>
  <c r="F46" i="21"/>
  <c r="E46" i="21"/>
  <c r="A46" i="21"/>
  <c r="W45" i="21"/>
  <c r="V45" i="21"/>
  <c r="U45" i="21"/>
  <c r="N45" i="21"/>
  <c r="M45" i="21"/>
  <c r="K45" i="21"/>
  <c r="I45" i="21"/>
  <c r="H45" i="21"/>
  <c r="F45" i="21"/>
  <c r="E45" i="2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A44" i="21"/>
  <c r="H38" i="21" s="1"/>
  <c r="W43" i="21"/>
  <c r="V43" i="21"/>
  <c r="U43" i="21"/>
  <c r="N43" i="21"/>
  <c r="M43" i="21"/>
  <c r="K43" i="21"/>
  <c r="I43" i="21"/>
  <c r="H43" i="21"/>
  <c r="F43" i="21"/>
  <c r="R43" i="21" s="1"/>
  <c r="E43" i="21"/>
  <c r="A43" i="21"/>
  <c r="E27" i="21" s="1"/>
  <c r="W42" i="21"/>
  <c r="V42" i="21"/>
  <c r="U42" i="21"/>
  <c r="N42" i="21"/>
  <c r="M42" i="21"/>
  <c r="K42" i="21"/>
  <c r="I42" i="21"/>
  <c r="H42" i="21"/>
  <c r="F42" i="21"/>
  <c r="O42" i="21" s="1" a="1"/>
  <c r="O42" i="21" s="1"/>
  <c r="E42" i="21"/>
  <c r="A42" i="21"/>
  <c r="H37" i="21" s="1"/>
  <c r="W41" i="21"/>
  <c r="V41" i="21"/>
  <c r="U41" i="21"/>
  <c r="N41" i="21"/>
  <c r="M41" i="21"/>
  <c r="K41" i="21"/>
  <c r="I41" i="21"/>
  <c r="H41" i="21"/>
  <c r="F41" i="21"/>
  <c r="E41" i="21"/>
  <c r="A41" i="21"/>
  <c r="H29" i="21" s="1"/>
  <c r="M38" i="21"/>
  <c r="M37" i="21"/>
  <c r="E37" i="21"/>
  <c r="M36" i="21"/>
  <c r="H36" i="21"/>
  <c r="M34" i="21"/>
  <c r="E34" i="21"/>
  <c r="M33" i="21"/>
  <c r="M32" i="21"/>
  <c r="E32" i="21"/>
  <c r="M30" i="21"/>
  <c r="M29" i="21"/>
  <c r="M27" i="21"/>
  <c r="M25" i="21"/>
  <c r="M24" i="21"/>
  <c r="M23" i="21"/>
  <c r="M21" i="21"/>
  <c r="M20" i="21"/>
  <c r="E20" i="21"/>
  <c r="M19" i="21"/>
  <c r="E19" i="21"/>
  <c r="M17" i="21"/>
  <c r="M16" i="21"/>
  <c r="H16" i="21"/>
  <c r="M15" i="21"/>
  <c r="H15" i="21"/>
  <c r="E15" i="21"/>
  <c r="M13" i="21"/>
  <c r="E13" i="21"/>
  <c r="M12" i="21"/>
  <c r="H12" i="21"/>
  <c r="E12" i="21"/>
  <c r="M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O48" i="20" s="1" a="1"/>
  <c r="O48" i="20" s="1"/>
  <c r="X48" i="20" s="1"/>
  <c r="E48" i="20"/>
  <c r="A48" i="20"/>
  <c r="W47" i="20"/>
  <c r="V47" i="20"/>
  <c r="U47" i="20"/>
  <c r="N47" i="20"/>
  <c r="M47" i="20"/>
  <c r="K47" i="20"/>
  <c r="I47" i="20"/>
  <c r="H47" i="20"/>
  <c r="F47" i="20"/>
  <c r="E47" i="20"/>
  <c r="A47" i="20"/>
  <c r="H17" i="20" s="1"/>
  <c r="W46" i="20"/>
  <c r="V46" i="20"/>
  <c r="U46" i="20"/>
  <c r="N46" i="20"/>
  <c r="M46" i="20"/>
  <c r="K46" i="20"/>
  <c r="I46" i="20"/>
  <c r="H46" i="20"/>
  <c r="F46" i="20"/>
  <c r="E46" i="20"/>
  <c r="A46" i="20"/>
  <c r="H33" i="20" s="1"/>
  <c r="W45" i="20"/>
  <c r="V45" i="20"/>
  <c r="U45" i="20"/>
  <c r="N45" i="20"/>
  <c r="M45" i="20"/>
  <c r="K45" i="20"/>
  <c r="I45" i="20"/>
  <c r="H45" i="20"/>
  <c r="F45" i="20"/>
  <c r="E45" i="20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A44" i="20"/>
  <c r="E16" i="20" s="1"/>
  <c r="W43" i="20"/>
  <c r="V43" i="20"/>
  <c r="U43" i="20"/>
  <c r="N43" i="20"/>
  <c r="M43" i="20"/>
  <c r="K43" i="20"/>
  <c r="I43" i="20"/>
  <c r="H43" i="20"/>
  <c r="F43" i="20"/>
  <c r="E43" i="20"/>
  <c r="A43" i="20"/>
  <c r="E27" i="20" s="1"/>
  <c r="W42" i="20"/>
  <c r="V42" i="20"/>
  <c r="U42" i="20"/>
  <c r="N42" i="20"/>
  <c r="M42" i="20"/>
  <c r="K42" i="20"/>
  <c r="I42" i="20"/>
  <c r="S42" i="20" s="1"/>
  <c r="H42" i="20"/>
  <c r="F42" i="20"/>
  <c r="E42" i="20"/>
  <c r="A42" i="20"/>
  <c r="W41" i="20"/>
  <c r="V41" i="20"/>
  <c r="U41" i="20"/>
  <c r="O41" i="20" a="1"/>
  <c r="O41" i="20" s="1"/>
  <c r="N41" i="20"/>
  <c r="M41" i="20"/>
  <c r="K41" i="20"/>
  <c r="I41" i="20"/>
  <c r="S41" i="20" s="1"/>
  <c r="H41" i="20"/>
  <c r="F41" i="20"/>
  <c r="E41" i="20"/>
  <c r="A41" i="20"/>
  <c r="E34" i="20" s="1"/>
  <c r="M38" i="20"/>
  <c r="H38" i="20"/>
  <c r="E38" i="20"/>
  <c r="M37" i="20"/>
  <c r="M36" i="20"/>
  <c r="M34" i="20"/>
  <c r="M33" i="20"/>
  <c r="M32" i="20"/>
  <c r="H32" i="20"/>
  <c r="E32" i="20"/>
  <c r="M30" i="20"/>
  <c r="M29" i="20"/>
  <c r="E29" i="20"/>
  <c r="M27" i="20"/>
  <c r="H27" i="20"/>
  <c r="M25" i="20"/>
  <c r="H25" i="20"/>
  <c r="M24" i="20"/>
  <c r="H24" i="20"/>
  <c r="E24" i="20"/>
  <c r="M23" i="20"/>
  <c r="M21" i="20"/>
  <c r="H21" i="20"/>
  <c r="M20" i="20"/>
  <c r="E20" i="20"/>
  <c r="M19" i="20"/>
  <c r="M17" i="20"/>
  <c r="E17" i="20"/>
  <c r="M16" i="20"/>
  <c r="M15" i="20"/>
  <c r="M13" i="20"/>
  <c r="H13" i="20"/>
  <c r="M12" i="20"/>
  <c r="E12" i="20"/>
  <c r="M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Q48" i="19" s="1"/>
  <c r="E48" i="19"/>
  <c r="A48" i="19"/>
  <c r="W47" i="19"/>
  <c r="V47" i="19"/>
  <c r="U47" i="19"/>
  <c r="N47" i="19"/>
  <c r="M47" i="19"/>
  <c r="K47" i="19"/>
  <c r="I47" i="19"/>
  <c r="H47" i="19"/>
  <c r="F47" i="19"/>
  <c r="E47" i="19"/>
  <c r="A47" i="19"/>
  <c r="H17" i="19" s="1"/>
  <c r="W46" i="19"/>
  <c r="V46" i="19"/>
  <c r="U46" i="19"/>
  <c r="N46" i="19"/>
  <c r="M46" i="19"/>
  <c r="K46" i="19"/>
  <c r="I46" i="19"/>
  <c r="H46" i="19"/>
  <c r="F46" i="19"/>
  <c r="E46" i="19"/>
  <c r="A46" i="19"/>
  <c r="W45" i="19"/>
  <c r="V45" i="19"/>
  <c r="U45" i="19"/>
  <c r="N45" i="19"/>
  <c r="M45" i="19"/>
  <c r="K45" i="19"/>
  <c r="I45" i="19"/>
  <c r="O45" i="19" s="1" a="1"/>
  <c r="O45" i="19" s="1"/>
  <c r="H45" i="19"/>
  <c r="F45" i="19"/>
  <c r="E45" i="19"/>
  <c r="A45" i="19"/>
  <c r="H20" i="19" s="1"/>
  <c r="W44" i="19"/>
  <c r="V44" i="19"/>
  <c r="U44" i="19"/>
  <c r="N44" i="19"/>
  <c r="M44" i="19"/>
  <c r="K44" i="19"/>
  <c r="I44" i="19"/>
  <c r="H44" i="19"/>
  <c r="F44" i="19"/>
  <c r="E44" i="19"/>
  <c r="A44" i="19"/>
  <c r="E16" i="19" s="1"/>
  <c r="W43" i="19"/>
  <c r="V43" i="19"/>
  <c r="U43" i="19"/>
  <c r="N43" i="19"/>
  <c r="M43" i="19"/>
  <c r="K43" i="19"/>
  <c r="I43" i="19"/>
  <c r="H43" i="19"/>
  <c r="F43" i="19"/>
  <c r="Q43" i="19" s="1"/>
  <c r="E43" i="19"/>
  <c r="A43" i="19"/>
  <c r="E20" i="19" s="1"/>
  <c r="W42" i="19"/>
  <c r="V42" i="19"/>
  <c r="U42" i="19"/>
  <c r="N42" i="19"/>
  <c r="M42" i="19"/>
  <c r="K42" i="19"/>
  <c r="I42" i="19"/>
  <c r="H42" i="19"/>
  <c r="F42" i="19"/>
  <c r="E42" i="19"/>
  <c r="A42" i="19"/>
  <c r="E33" i="19" s="1"/>
  <c r="W41" i="19"/>
  <c r="V41" i="19"/>
  <c r="U41" i="19"/>
  <c r="N41" i="19"/>
  <c r="M41" i="19"/>
  <c r="K41" i="19"/>
  <c r="I41" i="19"/>
  <c r="H41" i="19"/>
  <c r="F41" i="19"/>
  <c r="E41" i="19"/>
  <c r="A41" i="19"/>
  <c r="H36" i="19" s="1"/>
  <c r="M38" i="19"/>
  <c r="H38" i="19"/>
  <c r="E38" i="19"/>
  <c r="M37" i="19"/>
  <c r="M36" i="19"/>
  <c r="E36" i="19"/>
  <c r="M34" i="19"/>
  <c r="M33" i="19"/>
  <c r="M32" i="19"/>
  <c r="H32" i="19"/>
  <c r="M30" i="19"/>
  <c r="E30" i="19"/>
  <c r="M29" i="19"/>
  <c r="E29" i="19"/>
  <c r="M27" i="19"/>
  <c r="H27" i="19"/>
  <c r="M25" i="19"/>
  <c r="H25" i="19"/>
  <c r="E25" i="19"/>
  <c r="M24" i="19"/>
  <c r="H24" i="19"/>
  <c r="M23" i="19"/>
  <c r="M21" i="19"/>
  <c r="H21" i="19"/>
  <c r="M20" i="19"/>
  <c r="M19" i="19"/>
  <c r="H19" i="19"/>
  <c r="E19" i="19"/>
  <c r="M17" i="19"/>
  <c r="M16" i="19"/>
  <c r="M15" i="19"/>
  <c r="H15" i="19"/>
  <c r="E15" i="19"/>
  <c r="M13" i="19"/>
  <c r="M12" i="19"/>
  <c r="H12" i="19"/>
  <c r="M11" i="19"/>
  <c r="H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Q48" i="18" s="1"/>
  <c r="E48" i="18"/>
  <c r="A48" i="18"/>
  <c r="W47" i="18"/>
  <c r="V47" i="18"/>
  <c r="U47" i="18"/>
  <c r="N47" i="18"/>
  <c r="M47" i="18"/>
  <c r="K47" i="18"/>
  <c r="I47" i="18"/>
  <c r="H47" i="18"/>
  <c r="F47" i="18"/>
  <c r="Q47" i="18" s="1"/>
  <c r="E47" i="18"/>
  <c r="A47" i="18"/>
  <c r="H32" i="18" s="1"/>
  <c r="W46" i="18"/>
  <c r="V46" i="18"/>
  <c r="U46" i="18"/>
  <c r="N46" i="18"/>
  <c r="M46" i="18"/>
  <c r="K46" i="18"/>
  <c r="I46" i="18"/>
  <c r="H46" i="18"/>
  <c r="F46" i="18"/>
  <c r="E46" i="18"/>
  <c r="A46" i="18"/>
  <c r="W45" i="18"/>
  <c r="V45" i="18"/>
  <c r="U45" i="18"/>
  <c r="N45" i="18"/>
  <c r="M45" i="18"/>
  <c r="K45" i="18"/>
  <c r="I45" i="18"/>
  <c r="H45" i="18"/>
  <c r="F45" i="18"/>
  <c r="E45" i="18"/>
  <c r="A45" i="18"/>
  <c r="H20" i="18" s="1"/>
  <c r="W44" i="18"/>
  <c r="V44" i="18"/>
  <c r="U44" i="18"/>
  <c r="N44" i="18"/>
  <c r="M44" i="18"/>
  <c r="K44" i="18"/>
  <c r="I44" i="18"/>
  <c r="H44" i="18"/>
  <c r="F44" i="18"/>
  <c r="E44" i="18"/>
  <c r="A44" i="18"/>
  <c r="H12" i="18" s="1"/>
  <c r="W43" i="18"/>
  <c r="V43" i="18"/>
  <c r="U43" i="18"/>
  <c r="N43" i="18"/>
  <c r="M43" i="18"/>
  <c r="K43" i="18"/>
  <c r="I43" i="18"/>
  <c r="O43" i="18" s="1" a="1"/>
  <c r="O43" i="18" s="1"/>
  <c r="H43" i="18"/>
  <c r="F43" i="18"/>
  <c r="E43" i="18"/>
  <c r="A43" i="18"/>
  <c r="W42" i="18"/>
  <c r="V42" i="18"/>
  <c r="U42" i="18"/>
  <c r="N42" i="18"/>
  <c r="M42" i="18"/>
  <c r="K42" i="18"/>
  <c r="I42" i="18"/>
  <c r="H42" i="18"/>
  <c r="F42" i="18"/>
  <c r="E42" i="18"/>
  <c r="A42" i="18"/>
  <c r="H37" i="18" s="1"/>
  <c r="W41" i="18"/>
  <c r="V41" i="18"/>
  <c r="U41" i="18"/>
  <c r="N41" i="18"/>
  <c r="M41" i="18"/>
  <c r="K41" i="18"/>
  <c r="I41" i="18"/>
  <c r="H41" i="18"/>
  <c r="O41" i="18" s="1" a="1"/>
  <c r="O41" i="18" s="1"/>
  <c r="F41" i="18"/>
  <c r="E41" i="18"/>
  <c r="A41" i="18"/>
  <c r="H36" i="18" s="1"/>
  <c r="M38" i="18"/>
  <c r="M37" i="18"/>
  <c r="M36" i="18"/>
  <c r="E36" i="18"/>
  <c r="M34" i="18"/>
  <c r="M33" i="18"/>
  <c r="H33" i="18"/>
  <c r="E33" i="18"/>
  <c r="M32" i="18"/>
  <c r="M30" i="18"/>
  <c r="M29" i="18"/>
  <c r="M27" i="18"/>
  <c r="H27" i="18"/>
  <c r="M25" i="18"/>
  <c r="E25" i="18"/>
  <c r="M24" i="18"/>
  <c r="E24" i="18"/>
  <c r="M23" i="18"/>
  <c r="M21" i="18"/>
  <c r="M20" i="18"/>
  <c r="M19" i="18"/>
  <c r="H19" i="18"/>
  <c r="M17" i="18"/>
  <c r="H17" i="18"/>
  <c r="E17" i="18"/>
  <c r="M16" i="18"/>
  <c r="M15" i="18"/>
  <c r="E15" i="18"/>
  <c r="M13" i="18"/>
  <c r="H13" i="18"/>
  <c r="M12" i="18"/>
  <c r="M11" i="18"/>
  <c r="H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O48" i="17" s="1" a="1"/>
  <c r="O48" i="17" s="1"/>
  <c r="X48" i="17" s="1"/>
  <c r="E48" i="17"/>
  <c r="A48" i="17"/>
  <c r="W47" i="17"/>
  <c r="V47" i="17"/>
  <c r="U47" i="17"/>
  <c r="N47" i="17"/>
  <c r="M47" i="17"/>
  <c r="K47" i="17"/>
  <c r="I47" i="17"/>
  <c r="H47" i="17"/>
  <c r="F47" i="17"/>
  <c r="R47" i="17" s="1"/>
  <c r="E47" i="17"/>
  <c r="A47" i="17"/>
  <c r="W46" i="17"/>
  <c r="V46" i="17"/>
  <c r="U46" i="17"/>
  <c r="N46" i="17"/>
  <c r="M46" i="17"/>
  <c r="K46" i="17"/>
  <c r="I46" i="17"/>
  <c r="H46" i="17"/>
  <c r="F46" i="17"/>
  <c r="E46" i="17"/>
  <c r="A46" i="17"/>
  <c r="W45" i="17"/>
  <c r="V45" i="17"/>
  <c r="U45" i="17"/>
  <c r="N45" i="17"/>
  <c r="M45" i="17"/>
  <c r="K45" i="17"/>
  <c r="I45" i="17"/>
  <c r="H45" i="17"/>
  <c r="F45" i="17"/>
  <c r="E45" i="17"/>
  <c r="A45" i="17"/>
  <c r="H20" i="17" s="1"/>
  <c r="W44" i="17"/>
  <c r="V44" i="17"/>
  <c r="U44" i="17"/>
  <c r="N44" i="17"/>
  <c r="M44" i="17"/>
  <c r="K44" i="17"/>
  <c r="I44" i="17"/>
  <c r="H44" i="17"/>
  <c r="F44" i="17"/>
  <c r="E44" i="17"/>
  <c r="A44" i="17"/>
  <c r="H38" i="17" s="1"/>
  <c r="W43" i="17"/>
  <c r="V43" i="17"/>
  <c r="U43" i="17"/>
  <c r="N43" i="17"/>
  <c r="M43" i="17"/>
  <c r="K43" i="17"/>
  <c r="I43" i="17"/>
  <c r="H43" i="17"/>
  <c r="F43" i="17"/>
  <c r="E43" i="17"/>
  <c r="A43" i="17"/>
  <c r="E27" i="17" s="1"/>
  <c r="W42" i="17"/>
  <c r="V42" i="17"/>
  <c r="U42" i="17"/>
  <c r="N42" i="17"/>
  <c r="M42" i="17"/>
  <c r="K42" i="17"/>
  <c r="I42" i="17"/>
  <c r="H42" i="17"/>
  <c r="F42" i="17"/>
  <c r="E42" i="17"/>
  <c r="A42" i="17"/>
  <c r="H37" i="17" s="1"/>
  <c r="W41" i="17"/>
  <c r="V41" i="17"/>
  <c r="U41" i="17"/>
  <c r="N41" i="17"/>
  <c r="M41" i="17"/>
  <c r="K41" i="17"/>
  <c r="I41" i="17"/>
  <c r="H41" i="17"/>
  <c r="F41" i="17"/>
  <c r="E41" i="17"/>
  <c r="A41" i="17"/>
  <c r="H36" i="17" s="1"/>
  <c r="M38" i="17"/>
  <c r="E38" i="17"/>
  <c r="M37" i="17"/>
  <c r="M36" i="17"/>
  <c r="E36" i="17"/>
  <c r="M34" i="17"/>
  <c r="M33" i="17"/>
  <c r="H33" i="17"/>
  <c r="M32" i="17"/>
  <c r="H32" i="17"/>
  <c r="M30" i="17"/>
  <c r="E30" i="17"/>
  <c r="M29" i="17"/>
  <c r="M27" i="17"/>
  <c r="H27" i="17"/>
  <c r="M25" i="17"/>
  <c r="H25" i="17"/>
  <c r="E25" i="17"/>
  <c r="M24" i="17"/>
  <c r="E24" i="17"/>
  <c r="M23" i="17"/>
  <c r="M21" i="17"/>
  <c r="H21" i="17"/>
  <c r="M20" i="17"/>
  <c r="M19" i="17"/>
  <c r="H19" i="17"/>
  <c r="M17" i="17"/>
  <c r="H17" i="17"/>
  <c r="E17" i="17"/>
  <c r="M16" i="17"/>
  <c r="M15" i="17"/>
  <c r="H15" i="17"/>
  <c r="E15" i="17"/>
  <c r="M13" i="17"/>
  <c r="H13" i="17"/>
  <c r="M12" i="17"/>
  <c r="M11" i="17"/>
  <c r="H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O48" i="16" s="1" a="1"/>
  <c r="O48" i="16" s="1"/>
  <c r="X48" i="16" s="1"/>
  <c r="E48" i="16"/>
  <c r="A48" i="16"/>
  <c r="W47" i="16"/>
  <c r="V47" i="16"/>
  <c r="U47" i="16"/>
  <c r="N47" i="16"/>
  <c r="M47" i="16"/>
  <c r="K47" i="16"/>
  <c r="I47" i="16"/>
  <c r="H47" i="16"/>
  <c r="F47" i="16"/>
  <c r="E47" i="16"/>
  <c r="A47" i="16"/>
  <c r="E38" i="16" s="1"/>
  <c r="W46" i="16"/>
  <c r="V46" i="16"/>
  <c r="U46" i="16"/>
  <c r="N46" i="16"/>
  <c r="M46" i="16"/>
  <c r="K46" i="16"/>
  <c r="I46" i="16"/>
  <c r="H46" i="16"/>
  <c r="F46" i="16"/>
  <c r="E46" i="16"/>
  <c r="A46" i="16"/>
  <c r="E24" i="16" s="1"/>
  <c r="W45" i="16"/>
  <c r="V45" i="16"/>
  <c r="U45" i="16"/>
  <c r="N45" i="16"/>
  <c r="M45" i="16"/>
  <c r="K45" i="16"/>
  <c r="I45" i="16"/>
  <c r="H45" i="16"/>
  <c r="F45" i="16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H38" i="16" s="1"/>
  <c r="W43" i="16"/>
  <c r="V43" i="16"/>
  <c r="U43" i="16"/>
  <c r="N43" i="16"/>
  <c r="M43" i="16"/>
  <c r="K43" i="16"/>
  <c r="I43" i="16"/>
  <c r="H43" i="16"/>
  <c r="F43" i="16"/>
  <c r="E43" i="16"/>
  <c r="A43" i="16"/>
  <c r="H15" i="16" s="1"/>
  <c r="W42" i="16"/>
  <c r="V42" i="16"/>
  <c r="U42" i="16"/>
  <c r="N42" i="16"/>
  <c r="M42" i="16"/>
  <c r="K42" i="16"/>
  <c r="I42" i="16"/>
  <c r="H42" i="16"/>
  <c r="F42" i="16"/>
  <c r="S42" i="16" s="1"/>
  <c r="E42" i="16"/>
  <c r="A42" i="16"/>
  <c r="E15" i="16" s="1"/>
  <c r="W41" i="16"/>
  <c r="V41" i="16"/>
  <c r="U41" i="16"/>
  <c r="N41" i="16"/>
  <c r="M41" i="16"/>
  <c r="K41" i="16"/>
  <c r="I41" i="16"/>
  <c r="H41" i="16"/>
  <c r="F41" i="16"/>
  <c r="E41" i="16"/>
  <c r="A41" i="16"/>
  <c r="E21" i="16" s="1"/>
  <c r="M38" i="16"/>
  <c r="M37" i="16"/>
  <c r="H37" i="16"/>
  <c r="M36" i="16"/>
  <c r="E36" i="16"/>
  <c r="M34" i="16"/>
  <c r="M33" i="16"/>
  <c r="H33" i="16"/>
  <c r="M32" i="16"/>
  <c r="H32" i="16"/>
  <c r="E32" i="16"/>
  <c r="M30" i="16"/>
  <c r="M29" i="16"/>
  <c r="E29" i="16"/>
  <c r="M27" i="16"/>
  <c r="H27" i="16"/>
  <c r="E27" i="16"/>
  <c r="M25" i="16"/>
  <c r="M24" i="16"/>
  <c r="H24" i="16"/>
  <c r="M23" i="16"/>
  <c r="H23" i="16"/>
  <c r="M21" i="16"/>
  <c r="M20" i="16"/>
  <c r="E20" i="16"/>
  <c r="M19" i="16"/>
  <c r="E19" i="16"/>
  <c r="M17" i="16"/>
  <c r="H17" i="16"/>
  <c r="E17" i="16"/>
  <c r="M16" i="16"/>
  <c r="M15" i="16"/>
  <c r="M13" i="16"/>
  <c r="H13" i="16"/>
  <c r="M12" i="16"/>
  <c r="E12" i="16"/>
  <c r="M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A48" i="15"/>
  <c r="W47" i="15"/>
  <c r="V47" i="15"/>
  <c r="U47" i="15"/>
  <c r="N47" i="15"/>
  <c r="M47" i="15"/>
  <c r="K47" i="15"/>
  <c r="I47" i="15"/>
  <c r="H47" i="15"/>
  <c r="F47" i="15"/>
  <c r="E47" i="15"/>
  <c r="A47" i="15"/>
  <c r="E38" i="15" s="1"/>
  <c r="W46" i="15"/>
  <c r="V46" i="15"/>
  <c r="U46" i="15"/>
  <c r="N46" i="15"/>
  <c r="M46" i="15"/>
  <c r="K46" i="15"/>
  <c r="I46" i="15"/>
  <c r="H46" i="15"/>
  <c r="F46" i="15"/>
  <c r="E46" i="15"/>
  <c r="O46" i="15" s="1" a="1"/>
  <c r="O46" i="15" s="1"/>
  <c r="A46" i="15"/>
  <c r="E36" i="15" s="1"/>
  <c r="W45" i="15"/>
  <c r="V45" i="15"/>
  <c r="U45" i="15"/>
  <c r="N45" i="15"/>
  <c r="M45" i="15"/>
  <c r="K45" i="15"/>
  <c r="I45" i="15"/>
  <c r="H45" i="15"/>
  <c r="F45" i="15"/>
  <c r="E45" i="15"/>
  <c r="A45" i="15"/>
  <c r="H30" i="15" s="1"/>
  <c r="W44" i="15"/>
  <c r="V44" i="15"/>
  <c r="U44" i="15"/>
  <c r="N44" i="15"/>
  <c r="M44" i="15"/>
  <c r="K44" i="15"/>
  <c r="I44" i="15"/>
  <c r="H44" i="15"/>
  <c r="S44" i="15" s="1"/>
  <c r="F44" i="15"/>
  <c r="E44" i="15"/>
  <c r="A44" i="15"/>
  <c r="H38" i="15" s="1"/>
  <c r="W43" i="15"/>
  <c r="V43" i="15"/>
  <c r="U43" i="15"/>
  <c r="N43" i="15"/>
  <c r="M43" i="15"/>
  <c r="K43" i="15"/>
  <c r="I43" i="15"/>
  <c r="H43" i="15"/>
  <c r="F43" i="15"/>
  <c r="E43" i="15"/>
  <c r="A43" i="15"/>
  <c r="W42" i="15"/>
  <c r="V42" i="15"/>
  <c r="U42" i="15"/>
  <c r="N42" i="15"/>
  <c r="M42" i="15"/>
  <c r="K42" i="15"/>
  <c r="I42" i="15"/>
  <c r="H42" i="15"/>
  <c r="F42" i="15"/>
  <c r="E42" i="15"/>
  <c r="A42" i="15"/>
  <c r="H19" i="15" s="1"/>
  <c r="W41" i="15"/>
  <c r="V41" i="15"/>
  <c r="U41" i="15"/>
  <c r="N41" i="15"/>
  <c r="M41" i="15"/>
  <c r="K41" i="15"/>
  <c r="I41" i="15"/>
  <c r="H41" i="15"/>
  <c r="F41" i="15"/>
  <c r="E41" i="15"/>
  <c r="A41" i="15"/>
  <c r="E34" i="15" s="1"/>
  <c r="M38" i="15"/>
  <c r="M37" i="15"/>
  <c r="M36" i="15"/>
  <c r="H36" i="15"/>
  <c r="M34" i="15"/>
  <c r="M33" i="15"/>
  <c r="H33" i="15"/>
  <c r="M32" i="15"/>
  <c r="M30" i="15"/>
  <c r="M29" i="15"/>
  <c r="E29" i="15"/>
  <c r="M27" i="15"/>
  <c r="M25" i="15"/>
  <c r="E25" i="15"/>
  <c r="M24" i="15"/>
  <c r="M23" i="15"/>
  <c r="M21" i="15"/>
  <c r="M20" i="15"/>
  <c r="E20" i="15"/>
  <c r="M19" i="15"/>
  <c r="M17" i="15"/>
  <c r="M16" i="15"/>
  <c r="M15" i="15"/>
  <c r="H15" i="15"/>
  <c r="E15" i="15"/>
  <c r="M13" i="15"/>
  <c r="E13" i="15"/>
  <c r="M12" i="15"/>
  <c r="E12" i="15"/>
  <c r="M11" i="15"/>
  <c r="H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O48" i="14" s="1" a="1"/>
  <c r="O48" i="14" s="1"/>
  <c r="A48" i="14"/>
  <c r="W47" i="14"/>
  <c r="V47" i="14"/>
  <c r="U47" i="14"/>
  <c r="N47" i="14"/>
  <c r="M47" i="14"/>
  <c r="K47" i="14"/>
  <c r="I47" i="14"/>
  <c r="T47" i="14" s="1"/>
  <c r="H47" i="14"/>
  <c r="F47" i="14"/>
  <c r="E47" i="14"/>
  <c r="A47" i="14"/>
  <c r="H21" i="14" s="1"/>
  <c r="W46" i="14"/>
  <c r="V46" i="14"/>
  <c r="U46" i="14"/>
  <c r="O46" i="14" a="1"/>
  <c r="O46" i="14" s="1"/>
  <c r="N46" i="14"/>
  <c r="M46" i="14"/>
  <c r="K46" i="14"/>
  <c r="I46" i="14"/>
  <c r="H46" i="14"/>
  <c r="F46" i="14"/>
  <c r="E46" i="14"/>
  <c r="A46" i="14"/>
  <c r="E36" i="14" s="1"/>
  <c r="W45" i="14"/>
  <c r="V45" i="14"/>
  <c r="U45" i="14"/>
  <c r="N45" i="14"/>
  <c r="M45" i="14"/>
  <c r="K45" i="14"/>
  <c r="I45" i="14"/>
  <c r="H45" i="14"/>
  <c r="F45" i="14"/>
  <c r="E45" i="14"/>
  <c r="A45" i="14"/>
  <c r="H30" i="14" s="1"/>
  <c r="W44" i="14"/>
  <c r="V44" i="14"/>
  <c r="U44" i="14"/>
  <c r="N44" i="14"/>
  <c r="M44" i="14"/>
  <c r="K44" i="14"/>
  <c r="I44" i="14"/>
  <c r="S44" i="14" s="1"/>
  <c r="H44" i="14"/>
  <c r="F44" i="14"/>
  <c r="E44" i="14"/>
  <c r="A44" i="14"/>
  <c r="H31" i="14" s="1"/>
  <c r="W43" i="14"/>
  <c r="V43" i="14"/>
  <c r="U43" i="14"/>
  <c r="N43" i="14"/>
  <c r="M43" i="14"/>
  <c r="K43" i="14"/>
  <c r="I43" i="14"/>
  <c r="H43" i="14"/>
  <c r="F43" i="14"/>
  <c r="Q43" i="14" s="1"/>
  <c r="E43" i="14"/>
  <c r="A43" i="14"/>
  <c r="H35" i="14" s="1"/>
  <c r="W42" i="14"/>
  <c r="V42" i="14"/>
  <c r="U42" i="14"/>
  <c r="N42" i="14"/>
  <c r="M42" i="14"/>
  <c r="K42" i="14"/>
  <c r="I42" i="14"/>
  <c r="H42" i="14"/>
  <c r="O42" i="14" s="1" a="1"/>
  <c r="O42" i="14" s="1"/>
  <c r="F42" i="14"/>
  <c r="E42" i="14"/>
  <c r="A42" i="14"/>
  <c r="E28" i="14" s="1"/>
  <c r="W41" i="14"/>
  <c r="V41" i="14"/>
  <c r="U41" i="14"/>
  <c r="N41" i="14"/>
  <c r="M41" i="14"/>
  <c r="K41" i="14"/>
  <c r="I41" i="14"/>
  <c r="H41" i="14"/>
  <c r="F41" i="14"/>
  <c r="E41" i="14"/>
  <c r="T41" i="14" s="1"/>
  <c r="A41" i="14"/>
  <c r="E11" i="14" s="1"/>
  <c r="M38" i="14"/>
  <c r="H38" i="14"/>
  <c r="E38" i="14"/>
  <c r="M37" i="14"/>
  <c r="M36" i="14"/>
  <c r="H36" i="14"/>
  <c r="M35" i="14"/>
  <c r="M34" i="14"/>
  <c r="H34" i="14"/>
  <c r="M33" i="14"/>
  <c r="M32" i="14"/>
  <c r="H32" i="14"/>
  <c r="E32" i="14"/>
  <c r="M31" i="14"/>
  <c r="E31" i="14"/>
  <c r="M30" i="14"/>
  <c r="E30" i="14"/>
  <c r="M29" i="14"/>
  <c r="M28" i="14"/>
  <c r="M27" i="14"/>
  <c r="E27" i="14"/>
  <c r="M26" i="14"/>
  <c r="H26" i="14"/>
  <c r="E26" i="14"/>
  <c r="M25" i="14"/>
  <c r="M24" i="14"/>
  <c r="H24" i="14"/>
  <c r="M23" i="14"/>
  <c r="H23" i="14"/>
  <c r="E23" i="14"/>
  <c r="M22" i="14"/>
  <c r="H22" i="14"/>
  <c r="M21" i="14"/>
  <c r="E21" i="14"/>
  <c r="M20" i="14"/>
  <c r="H20" i="14"/>
  <c r="E20" i="14"/>
  <c r="M19" i="14"/>
  <c r="E19" i="14"/>
  <c r="M18" i="14"/>
  <c r="H18" i="14"/>
  <c r="E18" i="14"/>
  <c r="M17" i="14"/>
  <c r="H17" i="14"/>
  <c r="M16" i="14"/>
  <c r="E16" i="14"/>
  <c r="M15" i="14"/>
  <c r="H15" i="14"/>
  <c r="M14" i="14"/>
  <c r="H14" i="14"/>
  <c r="E14" i="14"/>
  <c r="M13" i="14"/>
  <c r="M12" i="14"/>
  <c r="E12" i="14"/>
  <c r="M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E48" i="13"/>
  <c r="A48" i="13"/>
  <c r="W47" i="13"/>
  <c r="V47" i="13"/>
  <c r="U47" i="13"/>
  <c r="N47" i="13"/>
  <c r="M47" i="13"/>
  <c r="K47" i="13"/>
  <c r="I47" i="13"/>
  <c r="H47" i="13"/>
  <c r="F47" i="13"/>
  <c r="E47" i="13"/>
  <c r="R47" i="13" s="1"/>
  <c r="A47" i="13"/>
  <c r="W46" i="13"/>
  <c r="V46" i="13"/>
  <c r="U46" i="13"/>
  <c r="N46" i="13"/>
  <c r="M46" i="13"/>
  <c r="K46" i="13"/>
  <c r="I46" i="13"/>
  <c r="H46" i="13"/>
  <c r="F46" i="13"/>
  <c r="E46" i="13"/>
  <c r="A46" i="13"/>
  <c r="W45" i="13"/>
  <c r="V45" i="13"/>
  <c r="U45" i="13"/>
  <c r="O45" i="13" a="1"/>
  <c r="O45" i="13" s="1"/>
  <c r="N45" i="13"/>
  <c r="M45" i="13"/>
  <c r="K45" i="13"/>
  <c r="I45" i="13"/>
  <c r="H45" i="13"/>
  <c r="F45" i="13"/>
  <c r="E45" i="13"/>
  <c r="A45" i="13"/>
  <c r="H30" i="13" s="1"/>
  <c r="W44" i="13"/>
  <c r="V44" i="13"/>
  <c r="U44" i="13"/>
  <c r="N44" i="13"/>
  <c r="M44" i="13"/>
  <c r="K44" i="13"/>
  <c r="I44" i="13"/>
  <c r="H44" i="13"/>
  <c r="F44" i="13"/>
  <c r="E44" i="13"/>
  <c r="A44" i="13"/>
  <c r="H12" i="13" s="1"/>
  <c r="W43" i="13"/>
  <c r="V43" i="13"/>
  <c r="U43" i="13"/>
  <c r="N43" i="13"/>
  <c r="M43" i="13"/>
  <c r="K43" i="13"/>
  <c r="I43" i="13"/>
  <c r="H43" i="13"/>
  <c r="F43" i="13"/>
  <c r="E43" i="13"/>
  <c r="A43" i="13"/>
  <c r="H35" i="13" s="1"/>
  <c r="W42" i="13"/>
  <c r="V42" i="13"/>
  <c r="U42" i="13"/>
  <c r="N42" i="13"/>
  <c r="M42" i="13"/>
  <c r="K42" i="13"/>
  <c r="I42" i="13"/>
  <c r="H42" i="13"/>
  <c r="F42" i="13"/>
  <c r="E42" i="13"/>
  <c r="T42" i="13" s="1"/>
  <c r="A42" i="13"/>
  <c r="E28" i="13" s="1"/>
  <c r="W41" i="13"/>
  <c r="V41" i="13"/>
  <c r="U41" i="13"/>
  <c r="N41" i="13"/>
  <c r="M41" i="13"/>
  <c r="K41" i="13"/>
  <c r="I41" i="13"/>
  <c r="H41" i="13"/>
  <c r="F41" i="13"/>
  <c r="E41" i="13"/>
  <c r="O41" i="13" s="1" a="1"/>
  <c r="O41" i="13" s="1"/>
  <c r="A41" i="13"/>
  <c r="E34" i="13" s="1"/>
  <c r="M38" i="13"/>
  <c r="E38" i="13"/>
  <c r="M37" i="13"/>
  <c r="M36" i="13"/>
  <c r="E36" i="13"/>
  <c r="M35" i="13"/>
  <c r="E35" i="13"/>
  <c r="M34" i="13"/>
  <c r="M33" i="13"/>
  <c r="H33" i="13"/>
  <c r="M32" i="13"/>
  <c r="H32" i="13"/>
  <c r="E32" i="13"/>
  <c r="M31" i="13"/>
  <c r="E31" i="13"/>
  <c r="M30" i="13"/>
  <c r="E30" i="13"/>
  <c r="M29" i="13"/>
  <c r="M28" i="13"/>
  <c r="H28" i="13"/>
  <c r="M27" i="13"/>
  <c r="H27" i="13"/>
  <c r="E27" i="13"/>
  <c r="M26" i="13"/>
  <c r="H26" i="13"/>
  <c r="M25" i="13"/>
  <c r="H25" i="13"/>
  <c r="M24" i="13"/>
  <c r="E24" i="13"/>
  <c r="M23" i="13"/>
  <c r="H23" i="13"/>
  <c r="E23" i="13"/>
  <c r="M22" i="13"/>
  <c r="H22" i="13"/>
  <c r="E22" i="13"/>
  <c r="M21" i="13"/>
  <c r="H21" i="13"/>
  <c r="M20" i="13"/>
  <c r="H20" i="13"/>
  <c r="M19" i="13"/>
  <c r="E19" i="13"/>
  <c r="M18" i="13"/>
  <c r="E18" i="13"/>
  <c r="M17" i="13"/>
  <c r="H17" i="13"/>
  <c r="E17" i="13"/>
  <c r="M16" i="13"/>
  <c r="M15" i="13"/>
  <c r="H15" i="13"/>
  <c r="E15" i="13"/>
  <c r="M14" i="13"/>
  <c r="H14" i="13"/>
  <c r="E14" i="13"/>
  <c r="M13" i="13"/>
  <c r="H13" i="13"/>
  <c r="M12" i="13"/>
  <c r="M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A48" i="12"/>
  <c r="W47" i="12"/>
  <c r="V47" i="12"/>
  <c r="U47" i="12"/>
  <c r="N47" i="12"/>
  <c r="M47" i="12"/>
  <c r="K47" i="12"/>
  <c r="I47" i="12"/>
  <c r="H47" i="12"/>
  <c r="F47" i="12"/>
  <c r="E47" i="12"/>
  <c r="A47" i="12"/>
  <c r="H25" i="12" s="1"/>
  <c r="W46" i="12"/>
  <c r="V46" i="12"/>
  <c r="U46" i="12"/>
  <c r="N46" i="12"/>
  <c r="M46" i="12"/>
  <c r="K46" i="12"/>
  <c r="I46" i="12"/>
  <c r="H46" i="12"/>
  <c r="F46" i="12"/>
  <c r="E46" i="12"/>
  <c r="O46" i="12" s="1" a="1"/>
  <c r="O46" i="12" s="1"/>
  <c r="A46" i="12"/>
  <c r="E36" i="12" s="1"/>
  <c r="W45" i="12"/>
  <c r="V45" i="12"/>
  <c r="U45" i="12"/>
  <c r="N45" i="12"/>
  <c r="M45" i="12"/>
  <c r="K45" i="12"/>
  <c r="I45" i="12"/>
  <c r="H45" i="12"/>
  <c r="F45" i="12"/>
  <c r="E45" i="12"/>
  <c r="A45" i="12"/>
  <c r="E37" i="12" s="1"/>
  <c r="W44" i="12"/>
  <c r="V44" i="12"/>
  <c r="U44" i="12"/>
  <c r="N44" i="12"/>
  <c r="M44" i="12"/>
  <c r="K44" i="12"/>
  <c r="I44" i="12"/>
  <c r="H44" i="12"/>
  <c r="F44" i="12"/>
  <c r="O44" i="12" s="1" a="1"/>
  <c r="O44" i="12" s="1"/>
  <c r="E44" i="12"/>
  <c r="A44" i="12"/>
  <c r="H24" i="12" s="1"/>
  <c r="W43" i="12"/>
  <c r="V43" i="12"/>
  <c r="U43" i="12"/>
  <c r="N43" i="12"/>
  <c r="M43" i="12"/>
  <c r="K43" i="12"/>
  <c r="I43" i="12"/>
  <c r="H43" i="12"/>
  <c r="F43" i="12"/>
  <c r="E43" i="12"/>
  <c r="A43" i="12"/>
  <c r="E20" i="12" s="1"/>
  <c r="W42" i="12"/>
  <c r="V42" i="12"/>
  <c r="U42" i="12"/>
  <c r="N42" i="12"/>
  <c r="M42" i="12"/>
  <c r="K42" i="12"/>
  <c r="I42" i="12"/>
  <c r="H42" i="12"/>
  <c r="F42" i="12"/>
  <c r="E42" i="12"/>
  <c r="T42" i="12" s="1"/>
  <c r="A42" i="12"/>
  <c r="E28" i="12" s="1"/>
  <c r="W41" i="12"/>
  <c r="V41" i="12"/>
  <c r="U41" i="12"/>
  <c r="N41" i="12"/>
  <c r="M41" i="12"/>
  <c r="K41" i="12"/>
  <c r="I41" i="12"/>
  <c r="H41" i="12"/>
  <c r="F41" i="12"/>
  <c r="E41" i="12"/>
  <c r="A41" i="12"/>
  <c r="H29" i="12" s="1"/>
  <c r="M38" i="12"/>
  <c r="H38" i="12"/>
  <c r="M37" i="12"/>
  <c r="M36" i="12"/>
  <c r="H36" i="12"/>
  <c r="M35" i="12"/>
  <c r="E35" i="12"/>
  <c r="M34" i="12"/>
  <c r="H34" i="12"/>
  <c r="M33" i="12"/>
  <c r="M32" i="12"/>
  <c r="M31" i="12"/>
  <c r="H31" i="12"/>
  <c r="E31" i="12"/>
  <c r="M30" i="12"/>
  <c r="H30" i="12"/>
  <c r="M29" i="12"/>
  <c r="E29" i="12"/>
  <c r="M28" i="12"/>
  <c r="H28" i="12"/>
  <c r="M27" i="12"/>
  <c r="E27" i="12"/>
  <c r="M26" i="12"/>
  <c r="H26" i="12"/>
  <c r="M25" i="12"/>
  <c r="M24" i="12"/>
  <c r="M23" i="12"/>
  <c r="H23" i="12"/>
  <c r="E23" i="12"/>
  <c r="M22" i="12"/>
  <c r="H22" i="12"/>
  <c r="M21" i="12"/>
  <c r="M20" i="12"/>
  <c r="H20" i="12"/>
  <c r="M19" i="12"/>
  <c r="M18" i="12"/>
  <c r="H18" i="12"/>
  <c r="E18" i="12"/>
  <c r="M17" i="12"/>
  <c r="M16" i="12"/>
  <c r="H16" i="12"/>
  <c r="M15" i="12"/>
  <c r="H15" i="12"/>
  <c r="M14" i="12"/>
  <c r="H14" i="12"/>
  <c r="M13" i="12"/>
  <c r="E13" i="12"/>
  <c r="M12" i="12"/>
  <c r="H12" i="12"/>
  <c r="E12" i="12"/>
  <c r="M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E48" i="11"/>
  <c r="A48" i="11"/>
  <c r="H28" i="11" s="1"/>
  <c r="W47" i="11"/>
  <c r="V47" i="11"/>
  <c r="U47" i="11"/>
  <c r="S47" i="11"/>
  <c r="N47" i="11"/>
  <c r="M47" i="11"/>
  <c r="K47" i="11"/>
  <c r="I47" i="11"/>
  <c r="H47" i="11"/>
  <c r="F47" i="11"/>
  <c r="E47" i="11"/>
  <c r="A47" i="11"/>
  <c r="H21" i="11" s="1"/>
  <c r="W46" i="11"/>
  <c r="V46" i="11"/>
  <c r="U46" i="11"/>
  <c r="N46" i="11"/>
  <c r="M46" i="11"/>
  <c r="K46" i="11"/>
  <c r="I46" i="11"/>
  <c r="H46" i="11"/>
  <c r="F46" i="11"/>
  <c r="E46" i="11"/>
  <c r="A46" i="11"/>
  <c r="H27" i="11" s="1"/>
  <c r="W45" i="11"/>
  <c r="V45" i="11"/>
  <c r="U45" i="11"/>
  <c r="N45" i="11"/>
  <c r="M45" i="11"/>
  <c r="K45" i="11"/>
  <c r="I45" i="11"/>
  <c r="O45" i="11" s="1" a="1"/>
  <c r="O45" i="11" s="1"/>
  <c r="H45" i="11"/>
  <c r="F45" i="11"/>
  <c r="E45" i="11"/>
  <c r="A45" i="11"/>
  <c r="H30" i="11" s="1"/>
  <c r="W44" i="11"/>
  <c r="V44" i="11"/>
  <c r="U44" i="11"/>
  <c r="N44" i="11"/>
  <c r="M44" i="11"/>
  <c r="K44" i="11"/>
  <c r="I44" i="11"/>
  <c r="H44" i="11"/>
  <c r="F44" i="11"/>
  <c r="O44" i="11" s="1" a="1"/>
  <c r="O44" i="11" s="1"/>
  <c r="E44" i="11"/>
  <c r="A44" i="11"/>
  <c r="H31" i="11" s="1"/>
  <c r="W43" i="11"/>
  <c r="V43" i="11"/>
  <c r="U43" i="11"/>
  <c r="N43" i="11"/>
  <c r="M43" i="11"/>
  <c r="K43" i="11"/>
  <c r="I43" i="11"/>
  <c r="H43" i="11"/>
  <c r="F43" i="11"/>
  <c r="E43" i="11"/>
  <c r="A43" i="11"/>
  <c r="H35" i="11" s="1"/>
  <c r="W42" i="11"/>
  <c r="V42" i="11"/>
  <c r="U42" i="11"/>
  <c r="N42" i="11"/>
  <c r="M42" i="11"/>
  <c r="K42" i="11"/>
  <c r="I42" i="11"/>
  <c r="H42" i="11"/>
  <c r="F42" i="11"/>
  <c r="E42" i="11"/>
  <c r="A42" i="11"/>
  <c r="E33" i="11" s="1"/>
  <c r="W41" i="11"/>
  <c r="V41" i="11"/>
  <c r="U41" i="11"/>
  <c r="N41" i="11"/>
  <c r="M41" i="11"/>
  <c r="K41" i="11"/>
  <c r="I41" i="11"/>
  <c r="H41" i="11"/>
  <c r="F41" i="11"/>
  <c r="E41" i="11"/>
  <c r="O41" i="11" s="1" a="1"/>
  <c r="O41" i="11" s="1"/>
  <c r="A41" i="11"/>
  <c r="E11" i="11" s="1"/>
  <c r="M38" i="11"/>
  <c r="H38" i="11"/>
  <c r="M37" i="11"/>
  <c r="M36" i="11"/>
  <c r="M35" i="11"/>
  <c r="E35" i="11"/>
  <c r="M34" i="11"/>
  <c r="M33" i="11"/>
  <c r="M32" i="11"/>
  <c r="M31" i="11"/>
  <c r="E31" i="11"/>
  <c r="M30" i="11"/>
  <c r="M29" i="11"/>
  <c r="E29" i="11"/>
  <c r="M28" i="11"/>
  <c r="M27" i="11"/>
  <c r="E27" i="11"/>
  <c r="M26" i="11"/>
  <c r="H26" i="11"/>
  <c r="M25" i="11"/>
  <c r="M24" i="11"/>
  <c r="H24" i="11"/>
  <c r="M23" i="11"/>
  <c r="E23" i="11"/>
  <c r="M22" i="11"/>
  <c r="M21" i="11"/>
  <c r="M20" i="11"/>
  <c r="E20" i="11"/>
  <c r="M19" i="11"/>
  <c r="M18" i="11"/>
  <c r="E18" i="11"/>
  <c r="M17" i="11"/>
  <c r="M16" i="11"/>
  <c r="E16" i="11"/>
  <c r="M15" i="11"/>
  <c r="M14" i="11"/>
  <c r="H14" i="11"/>
  <c r="M13" i="11"/>
  <c r="H13" i="11"/>
  <c r="M12" i="11"/>
  <c r="E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S48" i="10" s="1"/>
  <c r="F48" i="10"/>
  <c r="E48" i="10"/>
  <c r="A48" i="10"/>
  <c r="W47" i="10"/>
  <c r="V47" i="10"/>
  <c r="U47" i="10"/>
  <c r="N47" i="10"/>
  <c r="M47" i="10"/>
  <c r="K47" i="10"/>
  <c r="I47" i="10"/>
  <c r="H47" i="10"/>
  <c r="F47" i="10"/>
  <c r="E47" i="10"/>
  <c r="A47" i="10"/>
  <c r="E38" i="10" s="1"/>
  <c r="W46" i="10"/>
  <c r="V46" i="10"/>
  <c r="U46" i="10"/>
  <c r="N46" i="10"/>
  <c r="M46" i="10"/>
  <c r="K46" i="10"/>
  <c r="I46" i="10"/>
  <c r="H46" i="10"/>
  <c r="F46" i="10"/>
  <c r="Q46" i="10" s="1"/>
  <c r="E46" i="10"/>
  <c r="A46" i="10"/>
  <c r="E36" i="10" s="1"/>
  <c r="W45" i="10"/>
  <c r="V45" i="10"/>
  <c r="U45" i="10"/>
  <c r="N45" i="10"/>
  <c r="M45" i="10"/>
  <c r="K45" i="10"/>
  <c r="I45" i="10"/>
  <c r="H45" i="10"/>
  <c r="F45" i="10"/>
  <c r="E45" i="10"/>
  <c r="A45" i="10"/>
  <c r="W44" i="10"/>
  <c r="V44" i="10"/>
  <c r="U44" i="10"/>
  <c r="N44" i="10"/>
  <c r="M44" i="10"/>
  <c r="K44" i="10"/>
  <c r="I44" i="10"/>
  <c r="H44" i="10"/>
  <c r="F44" i="10"/>
  <c r="E44" i="10"/>
  <c r="A44" i="10"/>
  <c r="H38" i="10" s="1"/>
  <c r="W43" i="10"/>
  <c r="V43" i="10"/>
  <c r="U43" i="10"/>
  <c r="N43" i="10"/>
  <c r="M43" i="10"/>
  <c r="K43" i="10"/>
  <c r="I43" i="10"/>
  <c r="H43" i="10"/>
  <c r="F43" i="10"/>
  <c r="E43" i="10"/>
  <c r="A43" i="10"/>
  <c r="E27" i="10" s="1"/>
  <c r="W42" i="10"/>
  <c r="V42" i="10"/>
  <c r="U42" i="10"/>
  <c r="N42" i="10"/>
  <c r="M42" i="10"/>
  <c r="K42" i="10"/>
  <c r="I42" i="10"/>
  <c r="O42" i="10" s="1" a="1"/>
  <c r="O42" i="10" s="1"/>
  <c r="H42" i="10"/>
  <c r="F42" i="10"/>
  <c r="E42" i="10"/>
  <c r="A42" i="10"/>
  <c r="H19" i="10" s="1"/>
  <c r="W41" i="10"/>
  <c r="V41" i="10"/>
  <c r="U41" i="10"/>
  <c r="N41" i="10"/>
  <c r="M41" i="10"/>
  <c r="K41" i="10"/>
  <c r="I41" i="10"/>
  <c r="H41" i="10"/>
  <c r="F41" i="10"/>
  <c r="S41" i="10" s="1"/>
  <c r="E41" i="10"/>
  <c r="A41" i="10"/>
  <c r="H29" i="10" s="1"/>
  <c r="M38" i="10"/>
  <c r="M37" i="10"/>
  <c r="E37" i="10"/>
  <c r="M36" i="10"/>
  <c r="M34" i="10"/>
  <c r="H34" i="10"/>
  <c r="E34" i="10"/>
  <c r="M33" i="10"/>
  <c r="H33" i="10"/>
  <c r="M32" i="10"/>
  <c r="H32" i="10"/>
  <c r="M30" i="10"/>
  <c r="H30" i="10"/>
  <c r="E30" i="10"/>
  <c r="M29" i="10"/>
  <c r="M27" i="10"/>
  <c r="M25" i="10"/>
  <c r="M24" i="10"/>
  <c r="M23" i="10"/>
  <c r="E23" i="10"/>
  <c r="M21" i="10"/>
  <c r="H21" i="10"/>
  <c r="M20" i="10"/>
  <c r="H20" i="10"/>
  <c r="E20" i="10"/>
  <c r="M19" i="10"/>
  <c r="M17" i="10"/>
  <c r="H17" i="10"/>
  <c r="M16" i="10"/>
  <c r="H16" i="10"/>
  <c r="M15" i="10"/>
  <c r="M13" i="10"/>
  <c r="E13" i="10"/>
  <c r="M12" i="10"/>
  <c r="M11" i="10"/>
  <c r="N8" i="10"/>
  <c r="K8" i="10"/>
  <c r="E8" i="10"/>
  <c r="A8" i="10"/>
  <c r="W48" i="9"/>
  <c r="V48" i="9"/>
  <c r="U48" i="9"/>
  <c r="N48" i="9"/>
  <c r="M48" i="9"/>
  <c r="K48" i="9"/>
  <c r="I48" i="9"/>
  <c r="S48" i="9" s="1"/>
  <c r="H48" i="9"/>
  <c r="F48" i="9"/>
  <c r="E48" i="9"/>
  <c r="A48" i="9"/>
  <c r="W47" i="9"/>
  <c r="V47" i="9"/>
  <c r="U47" i="9"/>
  <c r="N47" i="9"/>
  <c r="M47" i="9"/>
  <c r="K47" i="9"/>
  <c r="I47" i="9"/>
  <c r="H47" i="9"/>
  <c r="F47" i="9"/>
  <c r="E47" i="9"/>
  <c r="A47" i="9"/>
  <c r="H25" i="9" s="1"/>
  <c r="W46" i="9"/>
  <c r="V46" i="9"/>
  <c r="U46" i="9"/>
  <c r="N46" i="9"/>
  <c r="M46" i="9"/>
  <c r="K46" i="9"/>
  <c r="I46" i="9"/>
  <c r="H46" i="9"/>
  <c r="O46" i="9" s="1" a="1"/>
  <c r="O46" i="9" s="1"/>
  <c r="F46" i="9"/>
  <c r="E46" i="9"/>
  <c r="A46" i="9"/>
  <c r="E36" i="9" s="1"/>
  <c r="W45" i="9"/>
  <c r="V45" i="9"/>
  <c r="U45" i="9"/>
  <c r="N45" i="9"/>
  <c r="M45" i="9"/>
  <c r="K45" i="9"/>
  <c r="I45" i="9"/>
  <c r="H45" i="9"/>
  <c r="F45" i="9"/>
  <c r="E45" i="9"/>
  <c r="A45" i="9"/>
  <c r="W44" i="9"/>
  <c r="V44" i="9"/>
  <c r="U44" i="9"/>
  <c r="N44" i="9"/>
  <c r="M44" i="9"/>
  <c r="K44" i="9"/>
  <c r="I44" i="9"/>
  <c r="H44" i="9"/>
  <c r="F44" i="9"/>
  <c r="E44" i="9"/>
  <c r="T44" i="9" s="1"/>
  <c r="A44" i="9"/>
  <c r="W43" i="9"/>
  <c r="V43" i="9"/>
  <c r="U43" i="9"/>
  <c r="N43" i="9"/>
  <c r="M43" i="9"/>
  <c r="K43" i="9"/>
  <c r="I43" i="9"/>
  <c r="H43" i="9"/>
  <c r="F43" i="9"/>
  <c r="E43" i="9"/>
  <c r="A43" i="9"/>
  <c r="H23" i="9" s="1"/>
  <c r="W42" i="9"/>
  <c r="V42" i="9"/>
  <c r="U42" i="9"/>
  <c r="O42" i="9" a="1"/>
  <c r="O42" i="9" s="1"/>
  <c r="N42" i="9"/>
  <c r="M42" i="9"/>
  <c r="K42" i="9"/>
  <c r="I42" i="9"/>
  <c r="H42" i="9"/>
  <c r="F42" i="9"/>
  <c r="E42" i="9"/>
  <c r="A42" i="9"/>
  <c r="H19" i="9" s="1"/>
  <c r="W41" i="9"/>
  <c r="V41" i="9"/>
  <c r="U41" i="9"/>
  <c r="N41" i="9"/>
  <c r="M41" i="9"/>
  <c r="K41" i="9"/>
  <c r="I41" i="9"/>
  <c r="H41" i="9"/>
  <c r="F41" i="9"/>
  <c r="E41" i="9"/>
  <c r="A41" i="9"/>
  <c r="E34" i="9" s="1"/>
  <c r="M38" i="9"/>
  <c r="H38" i="9"/>
  <c r="M37" i="9"/>
  <c r="E37" i="9"/>
  <c r="M36" i="9"/>
  <c r="M34" i="9"/>
  <c r="H34" i="9"/>
  <c r="M33" i="9"/>
  <c r="H33" i="9"/>
  <c r="M32" i="9"/>
  <c r="M30" i="9"/>
  <c r="H30" i="9"/>
  <c r="M29" i="9"/>
  <c r="E29" i="9"/>
  <c r="M27" i="9"/>
  <c r="M25" i="9"/>
  <c r="M24" i="9"/>
  <c r="H24" i="9"/>
  <c r="M23" i="9"/>
  <c r="M21" i="9"/>
  <c r="M20" i="9"/>
  <c r="H20" i="9"/>
  <c r="E20" i="9"/>
  <c r="M19" i="9"/>
  <c r="E19" i="9"/>
  <c r="M17" i="9"/>
  <c r="M16" i="9"/>
  <c r="H16" i="9"/>
  <c r="E16" i="9"/>
  <c r="M15" i="9"/>
  <c r="M13" i="9"/>
  <c r="E13" i="9"/>
  <c r="M12" i="9"/>
  <c r="H12" i="9"/>
  <c r="E12" i="9"/>
  <c r="M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O48" i="8" s="1" a="1"/>
  <c r="O48" i="8" s="1"/>
  <c r="X48" i="8" s="1"/>
  <c r="A48" i="8"/>
  <c r="W47" i="8"/>
  <c r="V47" i="8"/>
  <c r="U47" i="8"/>
  <c r="N47" i="8"/>
  <c r="M47" i="8"/>
  <c r="K47" i="8"/>
  <c r="I47" i="8"/>
  <c r="S47" i="8" s="1"/>
  <c r="H47" i="8"/>
  <c r="F47" i="8"/>
  <c r="E47" i="8"/>
  <c r="A47" i="8"/>
  <c r="E30" i="8" s="1"/>
  <c r="W46" i="8"/>
  <c r="V46" i="8"/>
  <c r="U46" i="8"/>
  <c r="N46" i="8"/>
  <c r="M46" i="8"/>
  <c r="K46" i="8"/>
  <c r="I46" i="8"/>
  <c r="H46" i="8"/>
  <c r="F46" i="8"/>
  <c r="E46" i="8"/>
  <c r="A46" i="8"/>
  <c r="E36" i="8" s="1"/>
  <c r="W45" i="8"/>
  <c r="V45" i="8"/>
  <c r="U45" i="8"/>
  <c r="N45" i="8"/>
  <c r="M45" i="8"/>
  <c r="K45" i="8"/>
  <c r="I45" i="8"/>
  <c r="H45" i="8"/>
  <c r="Q45" i="8" s="1"/>
  <c r="F45" i="8"/>
  <c r="E45" i="8"/>
  <c r="A45" i="8"/>
  <c r="H20" i="8" s="1"/>
  <c r="W44" i="8"/>
  <c r="V44" i="8"/>
  <c r="U44" i="8"/>
  <c r="N44" i="8"/>
  <c r="M44" i="8"/>
  <c r="K44" i="8"/>
  <c r="I44" i="8"/>
  <c r="H44" i="8"/>
  <c r="F44" i="8"/>
  <c r="E44" i="8"/>
  <c r="A44" i="8"/>
  <c r="E16" i="8" s="1"/>
  <c r="W43" i="8"/>
  <c r="V43" i="8"/>
  <c r="U43" i="8"/>
  <c r="N43" i="8"/>
  <c r="M43" i="8"/>
  <c r="K43" i="8"/>
  <c r="I43" i="8"/>
  <c r="H43" i="8"/>
  <c r="F43" i="8"/>
  <c r="E43" i="8"/>
  <c r="R43" i="8" s="1"/>
  <c r="A43" i="8"/>
  <c r="E27" i="8" s="1"/>
  <c r="W42" i="8"/>
  <c r="V42" i="8"/>
  <c r="U42" i="8"/>
  <c r="N42" i="8"/>
  <c r="M42" i="8"/>
  <c r="K42" i="8"/>
  <c r="I42" i="8"/>
  <c r="H42" i="8"/>
  <c r="F42" i="8"/>
  <c r="E42" i="8"/>
  <c r="A42" i="8"/>
  <c r="H19" i="8" s="1"/>
  <c r="W41" i="8"/>
  <c r="V41" i="8"/>
  <c r="U41" i="8"/>
  <c r="O41" i="8" a="1"/>
  <c r="O41" i="8" s="1"/>
  <c r="N41" i="8"/>
  <c r="M41" i="8"/>
  <c r="K41" i="8"/>
  <c r="I41" i="8"/>
  <c r="H41" i="8"/>
  <c r="F41" i="8"/>
  <c r="E41" i="8"/>
  <c r="A41" i="8"/>
  <c r="E34" i="8" s="1"/>
  <c r="M38" i="8"/>
  <c r="H38" i="8"/>
  <c r="E38" i="8"/>
  <c r="M37" i="8"/>
  <c r="M36" i="8"/>
  <c r="M34" i="8"/>
  <c r="M33" i="8"/>
  <c r="H33" i="8"/>
  <c r="M32" i="8"/>
  <c r="H32" i="8"/>
  <c r="E32" i="8"/>
  <c r="M30" i="8"/>
  <c r="M29" i="8"/>
  <c r="E29" i="8"/>
  <c r="M27" i="8"/>
  <c r="M25" i="8"/>
  <c r="H25" i="8"/>
  <c r="E25" i="8"/>
  <c r="M24" i="8"/>
  <c r="M23" i="8"/>
  <c r="M21" i="8"/>
  <c r="H21" i="8"/>
  <c r="M20" i="8"/>
  <c r="E20" i="8"/>
  <c r="M19" i="8"/>
  <c r="M17" i="8"/>
  <c r="M16" i="8"/>
  <c r="M15" i="8"/>
  <c r="M13" i="8"/>
  <c r="H13" i="8"/>
  <c r="M12" i="8"/>
  <c r="E12" i="8"/>
  <c r="M11" i="8"/>
  <c r="H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A48" i="7"/>
  <c r="H14" i="7" s="1"/>
  <c r="W47" i="7"/>
  <c r="V47" i="7"/>
  <c r="U47" i="7"/>
  <c r="N47" i="7"/>
  <c r="M47" i="7"/>
  <c r="K47" i="7"/>
  <c r="I47" i="7"/>
  <c r="H47" i="7"/>
  <c r="F47" i="7"/>
  <c r="E47" i="7"/>
  <c r="R47" i="7" s="1"/>
  <c r="A47" i="7"/>
  <c r="W46" i="7"/>
  <c r="V46" i="7"/>
  <c r="U46" i="7"/>
  <c r="N46" i="7"/>
  <c r="M46" i="7"/>
  <c r="K46" i="7"/>
  <c r="I46" i="7"/>
  <c r="H46" i="7"/>
  <c r="F46" i="7"/>
  <c r="E46" i="7"/>
  <c r="A46" i="7"/>
  <c r="E36" i="7" s="1"/>
  <c r="W45" i="7"/>
  <c r="V45" i="7"/>
  <c r="U45" i="7"/>
  <c r="O45" i="7" a="1"/>
  <c r="O45" i="7" s="1"/>
  <c r="N45" i="7"/>
  <c r="M45" i="7"/>
  <c r="K45" i="7"/>
  <c r="I45" i="7"/>
  <c r="H45" i="7"/>
  <c r="F45" i="7"/>
  <c r="E45" i="7"/>
  <c r="T45" i="7" s="1"/>
  <c r="A45" i="7"/>
  <c r="H30" i="7" s="1"/>
  <c r="W44" i="7"/>
  <c r="V44" i="7"/>
  <c r="U44" i="7"/>
  <c r="N44" i="7"/>
  <c r="M44" i="7"/>
  <c r="K44" i="7"/>
  <c r="I44" i="7"/>
  <c r="H44" i="7"/>
  <c r="F44" i="7"/>
  <c r="E44" i="7"/>
  <c r="A44" i="7"/>
  <c r="E16" i="7" s="1"/>
  <c r="W43" i="7"/>
  <c r="V43" i="7"/>
  <c r="U43" i="7"/>
  <c r="N43" i="7"/>
  <c r="M43" i="7"/>
  <c r="K43" i="7"/>
  <c r="I43" i="7"/>
  <c r="H43" i="7"/>
  <c r="F43" i="7"/>
  <c r="E43" i="7"/>
  <c r="A43" i="7"/>
  <c r="E20" i="7" s="1"/>
  <c r="W42" i="7"/>
  <c r="V42" i="7"/>
  <c r="U42" i="7"/>
  <c r="N42" i="7"/>
  <c r="M42" i="7"/>
  <c r="K42" i="7"/>
  <c r="I42" i="7"/>
  <c r="H42" i="7"/>
  <c r="F42" i="7"/>
  <c r="E42" i="7"/>
  <c r="T42" i="7" s="1"/>
  <c r="A42" i="7"/>
  <c r="E28" i="7" s="1"/>
  <c r="W41" i="7"/>
  <c r="V41" i="7"/>
  <c r="U41" i="7"/>
  <c r="N41" i="7"/>
  <c r="M41" i="7"/>
  <c r="K41" i="7"/>
  <c r="I41" i="7"/>
  <c r="H41" i="7"/>
  <c r="F41" i="7"/>
  <c r="E41" i="7"/>
  <c r="O41" i="7" s="1" a="1"/>
  <c r="O41" i="7" s="1"/>
  <c r="A41" i="7"/>
  <c r="H36" i="7" s="1"/>
  <c r="M38" i="7"/>
  <c r="H38" i="7"/>
  <c r="E38" i="7"/>
  <c r="M37" i="7"/>
  <c r="M36" i="7"/>
  <c r="M35" i="7"/>
  <c r="E35" i="7"/>
  <c r="M34" i="7"/>
  <c r="M33" i="7"/>
  <c r="M32" i="7"/>
  <c r="H32" i="7"/>
  <c r="M31" i="7"/>
  <c r="H31" i="7"/>
  <c r="E31" i="7"/>
  <c r="M30" i="7"/>
  <c r="E30" i="7"/>
  <c r="M29" i="7"/>
  <c r="E29" i="7"/>
  <c r="M28" i="7"/>
  <c r="H28" i="7"/>
  <c r="M27" i="7"/>
  <c r="E27" i="7"/>
  <c r="M26" i="7"/>
  <c r="H26" i="7"/>
  <c r="M25" i="7"/>
  <c r="H25" i="7"/>
  <c r="M24" i="7"/>
  <c r="E24" i="7"/>
  <c r="M23" i="7"/>
  <c r="E23" i="7"/>
  <c r="M22" i="7"/>
  <c r="H22" i="7"/>
  <c r="M21" i="7"/>
  <c r="H21" i="7"/>
  <c r="M20" i="7"/>
  <c r="M19" i="7"/>
  <c r="M18" i="7"/>
  <c r="E18" i="7"/>
  <c r="M17" i="7"/>
  <c r="H17" i="7"/>
  <c r="E17" i="7"/>
  <c r="M16" i="7"/>
  <c r="M15" i="7"/>
  <c r="H15" i="7"/>
  <c r="E15" i="7"/>
  <c r="M14" i="7"/>
  <c r="E14" i="7"/>
  <c r="M13" i="7"/>
  <c r="H13" i="7"/>
  <c r="M12" i="7"/>
  <c r="M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E48" i="6"/>
  <c r="A48" i="6"/>
  <c r="W47" i="6"/>
  <c r="V47" i="6"/>
  <c r="U47" i="6"/>
  <c r="N47" i="6"/>
  <c r="M47" i="6"/>
  <c r="K47" i="6"/>
  <c r="I47" i="6"/>
  <c r="H47" i="6"/>
  <c r="F47" i="6"/>
  <c r="E47" i="6"/>
  <c r="R47" i="6" s="1"/>
  <c r="A47" i="6"/>
  <c r="W46" i="6"/>
  <c r="V46" i="6"/>
  <c r="U46" i="6"/>
  <c r="N46" i="6"/>
  <c r="M46" i="6"/>
  <c r="K46" i="6"/>
  <c r="I46" i="6"/>
  <c r="H46" i="6"/>
  <c r="F46" i="6"/>
  <c r="E46" i="6"/>
  <c r="A46" i="6"/>
  <c r="E36" i="6" s="1"/>
  <c r="W45" i="6"/>
  <c r="V45" i="6"/>
  <c r="U45" i="6"/>
  <c r="O45" i="6" a="1"/>
  <c r="O45" i="6" s="1"/>
  <c r="N45" i="6"/>
  <c r="M45" i="6"/>
  <c r="K45" i="6"/>
  <c r="I45" i="6"/>
  <c r="H45" i="6"/>
  <c r="F45" i="6"/>
  <c r="E45" i="6"/>
  <c r="R45" i="6" s="1"/>
  <c r="A45" i="6"/>
  <c r="H20" i="6" s="1"/>
  <c r="W44" i="6"/>
  <c r="V44" i="6"/>
  <c r="U44" i="6"/>
  <c r="N44" i="6"/>
  <c r="M44" i="6"/>
  <c r="K44" i="6"/>
  <c r="I44" i="6"/>
  <c r="H44" i="6"/>
  <c r="F44" i="6"/>
  <c r="E44" i="6"/>
  <c r="A44" i="6"/>
  <c r="E16" i="6" s="1"/>
  <c r="W43" i="6"/>
  <c r="V43" i="6"/>
  <c r="U43" i="6"/>
  <c r="N43" i="6"/>
  <c r="M43" i="6"/>
  <c r="K43" i="6"/>
  <c r="I43" i="6"/>
  <c r="H43" i="6"/>
  <c r="F43" i="6"/>
  <c r="E43" i="6"/>
  <c r="A43" i="6"/>
  <c r="E32" i="6" s="1"/>
  <c r="W42" i="6"/>
  <c r="V42" i="6"/>
  <c r="U42" i="6"/>
  <c r="N42" i="6"/>
  <c r="M42" i="6"/>
  <c r="K42" i="6"/>
  <c r="I42" i="6"/>
  <c r="H42" i="6"/>
  <c r="F42" i="6"/>
  <c r="E42" i="6"/>
  <c r="T42" i="6" s="1"/>
  <c r="A42" i="6"/>
  <c r="H37" i="6" s="1"/>
  <c r="W41" i="6"/>
  <c r="V41" i="6"/>
  <c r="U41" i="6"/>
  <c r="N41" i="6"/>
  <c r="M41" i="6"/>
  <c r="K41" i="6"/>
  <c r="I41" i="6"/>
  <c r="H41" i="6"/>
  <c r="F41" i="6"/>
  <c r="E41" i="6"/>
  <c r="O41" i="6" s="1" a="1"/>
  <c r="O41" i="6" s="1"/>
  <c r="A41" i="6"/>
  <c r="E21" i="6" s="1"/>
  <c r="M38" i="6"/>
  <c r="H38" i="6"/>
  <c r="E38" i="6"/>
  <c r="M37" i="6"/>
  <c r="M36" i="6"/>
  <c r="M34" i="6"/>
  <c r="M33" i="6"/>
  <c r="E33" i="6"/>
  <c r="M32" i="6"/>
  <c r="H32" i="6"/>
  <c r="M30" i="6"/>
  <c r="E30" i="6"/>
  <c r="M29" i="6"/>
  <c r="M27" i="6"/>
  <c r="E27" i="6"/>
  <c r="M25" i="6"/>
  <c r="H25" i="6"/>
  <c r="E25" i="6"/>
  <c r="M24" i="6"/>
  <c r="M23" i="6"/>
  <c r="H23" i="6"/>
  <c r="M21" i="6"/>
  <c r="H21" i="6"/>
  <c r="M20" i="6"/>
  <c r="E20" i="6"/>
  <c r="M19" i="6"/>
  <c r="M17" i="6"/>
  <c r="H17" i="6"/>
  <c r="E17" i="6"/>
  <c r="M16" i="6"/>
  <c r="M15" i="6"/>
  <c r="H15" i="6"/>
  <c r="E15" i="6"/>
  <c r="M13" i="6"/>
  <c r="M12" i="6"/>
  <c r="H12" i="6"/>
  <c r="E12" i="6"/>
  <c r="M11" i="6"/>
  <c r="H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T48" i="5" s="1"/>
  <c r="A48" i="5"/>
  <c r="W47" i="5"/>
  <c r="V47" i="5"/>
  <c r="U47" i="5"/>
  <c r="N47" i="5"/>
  <c r="M47" i="5"/>
  <c r="K47" i="5"/>
  <c r="I47" i="5"/>
  <c r="S47" i="5" s="1"/>
  <c r="H47" i="5"/>
  <c r="F47" i="5"/>
  <c r="E47" i="5"/>
  <c r="A47" i="5"/>
  <c r="H32" i="5" s="1"/>
  <c r="W46" i="5"/>
  <c r="V46" i="5"/>
  <c r="U46" i="5"/>
  <c r="N46" i="5"/>
  <c r="M46" i="5"/>
  <c r="K46" i="5"/>
  <c r="I46" i="5"/>
  <c r="H46" i="5"/>
  <c r="F46" i="5"/>
  <c r="E46" i="5"/>
  <c r="A46" i="5"/>
  <c r="E36" i="5" s="1"/>
  <c r="W45" i="5"/>
  <c r="V45" i="5"/>
  <c r="U45" i="5"/>
  <c r="N45" i="5"/>
  <c r="M45" i="5"/>
  <c r="K45" i="5"/>
  <c r="I45" i="5"/>
  <c r="H45" i="5"/>
  <c r="Q45" i="5" s="1"/>
  <c r="F45" i="5"/>
  <c r="E45" i="5"/>
  <c r="A45" i="5"/>
  <c r="H30" i="5" s="1"/>
  <c r="W44" i="5"/>
  <c r="V44" i="5"/>
  <c r="U44" i="5"/>
  <c r="N44" i="5"/>
  <c r="M44" i="5"/>
  <c r="K44" i="5"/>
  <c r="I44" i="5"/>
  <c r="H44" i="5"/>
  <c r="F44" i="5"/>
  <c r="E44" i="5"/>
  <c r="A44" i="5"/>
  <c r="E16" i="5" s="1"/>
  <c r="W43" i="5"/>
  <c r="V43" i="5"/>
  <c r="U43" i="5"/>
  <c r="N43" i="5"/>
  <c r="M43" i="5"/>
  <c r="K43" i="5"/>
  <c r="I43" i="5"/>
  <c r="H43" i="5"/>
  <c r="F43" i="5"/>
  <c r="E43" i="5"/>
  <c r="R43" i="5" s="1"/>
  <c r="A43" i="5"/>
  <c r="E20" i="5" s="1"/>
  <c r="W42" i="5"/>
  <c r="V42" i="5"/>
  <c r="U42" i="5"/>
  <c r="N42" i="5"/>
  <c r="M42" i="5"/>
  <c r="K42" i="5"/>
  <c r="I42" i="5"/>
  <c r="S42" i="5" s="1"/>
  <c r="H42" i="5"/>
  <c r="F42" i="5"/>
  <c r="E42" i="5"/>
  <c r="A42" i="5"/>
  <c r="E28" i="5" s="1"/>
  <c r="W41" i="5"/>
  <c r="V41" i="5"/>
  <c r="U41" i="5"/>
  <c r="O41" i="5" a="1"/>
  <c r="O41" i="5" s="1"/>
  <c r="N41" i="5"/>
  <c r="M41" i="5"/>
  <c r="K41" i="5"/>
  <c r="I41" i="5"/>
  <c r="H41" i="5"/>
  <c r="F41" i="5"/>
  <c r="E41" i="5"/>
  <c r="T41" i="5" s="1"/>
  <c r="A41" i="5"/>
  <c r="H18" i="5" s="1"/>
  <c r="M38" i="5"/>
  <c r="H38" i="5"/>
  <c r="E38" i="5"/>
  <c r="M37" i="5"/>
  <c r="M36" i="5"/>
  <c r="M35" i="5"/>
  <c r="E35" i="5"/>
  <c r="M34" i="5"/>
  <c r="M33" i="5"/>
  <c r="M32" i="5"/>
  <c r="M31" i="5"/>
  <c r="E31" i="5"/>
  <c r="M30" i="5"/>
  <c r="M29" i="5"/>
  <c r="E29" i="5"/>
  <c r="M28" i="5"/>
  <c r="H28" i="5"/>
  <c r="M27" i="5"/>
  <c r="E27" i="5"/>
  <c r="M26" i="5"/>
  <c r="H26" i="5"/>
  <c r="M25" i="5"/>
  <c r="H25" i="5"/>
  <c r="M24" i="5"/>
  <c r="M23" i="5"/>
  <c r="M22" i="5"/>
  <c r="H22" i="5"/>
  <c r="M21" i="5"/>
  <c r="H21" i="5"/>
  <c r="M20" i="5"/>
  <c r="M19" i="5"/>
  <c r="E19" i="5"/>
  <c r="M18" i="5"/>
  <c r="E18" i="5"/>
  <c r="M17" i="5"/>
  <c r="H17" i="5"/>
  <c r="M16" i="5"/>
  <c r="M15" i="5"/>
  <c r="M14" i="5"/>
  <c r="H14" i="5"/>
  <c r="M13" i="5"/>
  <c r="E13" i="5"/>
  <c r="M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H34" i="5" l="1"/>
  <c r="Q42" i="5"/>
  <c r="T45" i="5"/>
  <c r="Q47" i="5"/>
  <c r="S43" i="6"/>
  <c r="H24" i="7"/>
  <c r="S43" i="7"/>
  <c r="Q46" i="7"/>
  <c r="S42" i="8"/>
  <c r="T45" i="8"/>
  <c r="Q47" i="8"/>
  <c r="E11" i="9"/>
  <c r="E15" i="9"/>
  <c r="E23" i="9"/>
  <c r="E27" i="9"/>
  <c r="E32" i="9"/>
  <c r="H36" i="9"/>
  <c r="T41" i="9"/>
  <c r="Q43" i="9"/>
  <c r="T46" i="9"/>
  <c r="T47" i="9"/>
  <c r="E12" i="10"/>
  <c r="E16" i="10"/>
  <c r="E25" i="10"/>
  <c r="R43" i="10"/>
  <c r="O46" i="10" a="1"/>
  <c r="O46" i="10" s="1"/>
  <c r="O48" i="10" a="1"/>
  <c r="O48" i="10" s="1"/>
  <c r="X48" i="10" s="1"/>
  <c r="E15" i="11"/>
  <c r="E22" i="11"/>
  <c r="E25" i="11"/>
  <c r="E28" i="11"/>
  <c r="E36" i="11"/>
  <c r="T41" i="11"/>
  <c r="O42" i="11" a="1"/>
  <c r="O42" i="11" s="1"/>
  <c r="T46" i="11"/>
  <c r="S48" i="11"/>
  <c r="H32" i="12"/>
  <c r="Q41" i="12"/>
  <c r="Q46" i="12"/>
  <c r="E16" i="13"/>
  <c r="E29" i="13"/>
  <c r="T43" i="13"/>
  <c r="Q46" i="13"/>
  <c r="E13" i="14"/>
  <c r="H16" i="14"/>
  <c r="H21" i="15"/>
  <c r="R41" i="15"/>
  <c r="T45" i="16"/>
  <c r="O45" i="16" a="1"/>
  <c r="O45" i="16" s="1"/>
  <c r="R41" i="17"/>
  <c r="O41" i="17" a="1"/>
  <c r="O41" i="17" s="1"/>
  <c r="E17" i="19"/>
  <c r="H33" i="19"/>
  <c r="E24" i="19"/>
  <c r="H13" i="19"/>
  <c r="R43" i="20"/>
  <c r="S43" i="20"/>
  <c r="R47" i="23"/>
  <c r="S47" i="23"/>
  <c r="E14" i="5"/>
  <c r="E30" i="5"/>
  <c r="S45" i="5"/>
  <c r="O46" i="5" a="1"/>
  <c r="O46" i="5" s="1"/>
  <c r="O44" i="6" a="1"/>
  <c r="O44" i="6" s="1"/>
  <c r="E32" i="7"/>
  <c r="O44" i="7" a="1"/>
  <c r="O44" i="7" s="1"/>
  <c r="E15" i="8"/>
  <c r="S45" i="8"/>
  <c r="O46" i="8" a="1"/>
  <c r="O46" i="8" s="1"/>
  <c r="H11" i="9"/>
  <c r="H15" i="9"/>
  <c r="H32" i="9"/>
  <c r="Q41" i="9"/>
  <c r="S46" i="9"/>
  <c r="H12" i="10"/>
  <c r="H25" i="10"/>
  <c r="E32" i="10"/>
  <c r="H36" i="10"/>
  <c r="T41" i="10"/>
  <c r="Q43" i="10"/>
  <c r="T46" i="10"/>
  <c r="T47" i="10"/>
  <c r="R48" i="10"/>
  <c r="H12" i="11"/>
  <c r="E19" i="11"/>
  <c r="H22" i="11"/>
  <c r="H25" i="11"/>
  <c r="H32" i="11"/>
  <c r="S43" i="11"/>
  <c r="T44" i="11"/>
  <c r="S46" i="11"/>
  <c r="E16" i="12"/>
  <c r="E19" i="12"/>
  <c r="E26" i="12"/>
  <c r="O42" i="12" a="1"/>
  <c r="O42" i="12" s="1"/>
  <c r="O43" i="12" a="1"/>
  <c r="O43" i="12" s="1"/>
  <c r="S48" i="12"/>
  <c r="E20" i="13"/>
  <c r="O44" i="13" a="1"/>
  <c r="O44" i="13" s="1"/>
  <c r="S47" i="13"/>
  <c r="R43" i="14"/>
  <c r="Q45" i="14"/>
  <c r="E35" i="14"/>
  <c r="H28" i="14"/>
  <c r="H16" i="15"/>
  <c r="S47" i="17"/>
  <c r="E29" i="18"/>
  <c r="S47" i="18"/>
  <c r="O41" i="19" a="1"/>
  <c r="O41" i="19" s="1"/>
  <c r="T46" i="20"/>
  <c r="T42" i="15"/>
  <c r="O42" i="15" a="1"/>
  <c r="O42" i="15" s="1"/>
  <c r="T47" i="22"/>
  <c r="S47" i="22"/>
  <c r="E23" i="5"/>
  <c r="Q43" i="5"/>
  <c r="O48" i="5" a="1"/>
  <c r="O48" i="5" s="1"/>
  <c r="Q47" i="6"/>
  <c r="Q42" i="7"/>
  <c r="Q47" i="7"/>
  <c r="T41" i="8"/>
  <c r="Q43" i="8"/>
  <c r="S48" i="8"/>
  <c r="H29" i="9"/>
  <c r="T42" i="9"/>
  <c r="T43" i="9"/>
  <c r="Q44" i="9"/>
  <c r="O43" i="10" a="1"/>
  <c r="O43" i="10" s="1"/>
  <c r="H33" i="11"/>
  <c r="E38" i="11"/>
  <c r="T42" i="11"/>
  <c r="R47" i="11"/>
  <c r="E38" i="12"/>
  <c r="S42" i="12"/>
  <c r="R47" i="12"/>
  <c r="H38" i="13"/>
  <c r="S42" i="13"/>
  <c r="T45" i="13"/>
  <c r="Q47" i="13"/>
  <c r="Q41" i="14"/>
  <c r="T46" i="14"/>
  <c r="T48" i="14"/>
  <c r="H17" i="15"/>
  <c r="H32" i="15"/>
  <c r="T44" i="15"/>
  <c r="H34" i="15"/>
  <c r="E37" i="15"/>
  <c r="H20" i="15"/>
  <c r="T47" i="15"/>
  <c r="T46" i="16"/>
  <c r="Q42" i="17"/>
  <c r="T45" i="17"/>
  <c r="O45" i="17" a="1"/>
  <c r="O45" i="17" s="1"/>
  <c r="E32" i="18"/>
  <c r="E12" i="18"/>
  <c r="S43" i="18"/>
  <c r="T45" i="18"/>
  <c r="O45" i="18" a="1"/>
  <c r="O45" i="18" s="1"/>
  <c r="T44" i="20"/>
  <c r="Q44" i="20"/>
  <c r="E30" i="21"/>
  <c r="H17" i="21"/>
  <c r="H32" i="21"/>
  <c r="H21" i="21"/>
  <c r="R43" i="22"/>
  <c r="O45" i="22" a="1"/>
  <c r="O45" i="22" s="1"/>
  <c r="E30" i="15"/>
  <c r="H25" i="15"/>
  <c r="E15" i="5"/>
  <c r="Q41" i="5"/>
  <c r="O42" i="5" a="1"/>
  <c r="O42" i="5" s="1"/>
  <c r="T46" i="5"/>
  <c r="O46" i="6" a="1"/>
  <c r="O46" i="6" s="1"/>
  <c r="H12" i="7"/>
  <c r="S45" i="7"/>
  <c r="E17" i="8"/>
  <c r="S41" i="8"/>
  <c r="O42" i="8" a="1"/>
  <c r="O42" i="8" s="1"/>
  <c r="T46" i="8"/>
  <c r="E38" i="9"/>
  <c r="S42" i="9"/>
  <c r="O44" i="9" a="1"/>
  <c r="O44" i="9" s="1"/>
  <c r="R47" i="9"/>
  <c r="E29" i="10"/>
  <c r="T42" i="10"/>
  <c r="O44" i="10" a="1"/>
  <c r="O44" i="10" s="1"/>
  <c r="E17" i="11"/>
  <c r="H20" i="11"/>
  <c r="S42" i="11"/>
  <c r="T45" i="11"/>
  <c r="Q47" i="11"/>
  <c r="E14" i="12"/>
  <c r="H17" i="12"/>
  <c r="S44" i="12"/>
  <c r="T45" i="12"/>
  <c r="Q47" i="12"/>
  <c r="E37" i="14"/>
  <c r="T43" i="14"/>
  <c r="S46" i="14"/>
  <c r="E27" i="15"/>
  <c r="E32" i="15"/>
  <c r="T45" i="15"/>
  <c r="R47" i="15"/>
  <c r="O41" i="16" a="1"/>
  <c r="O41" i="16" s="1"/>
  <c r="E16" i="16"/>
  <c r="H12" i="16"/>
  <c r="Q46" i="16"/>
  <c r="T42" i="19"/>
  <c r="R47" i="19"/>
  <c r="H37" i="20"/>
  <c r="H19" i="20"/>
  <c r="H11" i="20"/>
  <c r="E25" i="20"/>
  <c r="E15" i="20"/>
  <c r="O43" i="21" a="1"/>
  <c r="O43" i="21" s="1"/>
  <c r="S44" i="21"/>
  <c r="E30" i="12"/>
  <c r="H12" i="5"/>
  <c r="H20" i="5"/>
  <c r="H24" i="5"/>
  <c r="E37" i="5"/>
  <c r="S43" i="5"/>
  <c r="S46" i="5"/>
  <c r="H13" i="6"/>
  <c r="E29" i="6"/>
  <c r="H33" i="6"/>
  <c r="R43" i="6"/>
  <c r="S47" i="6"/>
  <c r="O48" i="6" a="1"/>
  <c r="O48" i="6" s="1"/>
  <c r="X48" i="6" s="1"/>
  <c r="E19" i="7"/>
  <c r="R43" i="7"/>
  <c r="T47" i="7"/>
  <c r="O48" i="7" a="1"/>
  <c r="O48" i="7" s="1"/>
  <c r="H17" i="8"/>
  <c r="H24" i="8"/>
  <c r="S43" i="8"/>
  <c r="T44" i="8"/>
  <c r="S46" i="8"/>
  <c r="E21" i="9"/>
  <c r="E25" i="9"/>
  <c r="E30" i="9"/>
  <c r="S44" i="9"/>
  <c r="T45" i="9"/>
  <c r="Q47" i="9"/>
  <c r="E11" i="10"/>
  <c r="E15" i="10"/>
  <c r="E19" i="10"/>
  <c r="S42" i="10"/>
  <c r="R47" i="10"/>
  <c r="E14" i="11"/>
  <c r="H17" i="11"/>
  <c r="E24" i="11"/>
  <c r="E30" i="11"/>
  <c r="S45" i="11"/>
  <c r="O46" i="11" a="1"/>
  <c r="O46" i="11" s="1"/>
  <c r="E11" i="12"/>
  <c r="E21" i="12"/>
  <c r="S45" i="12"/>
  <c r="E12" i="13"/>
  <c r="H24" i="13"/>
  <c r="H31" i="13"/>
  <c r="R43" i="13"/>
  <c r="T47" i="13"/>
  <c r="H25" i="14"/>
  <c r="E29" i="14"/>
  <c r="T43" i="16"/>
  <c r="Q47" i="20"/>
  <c r="S47" i="20"/>
  <c r="O46" i="24" a="1"/>
  <c r="O46" i="24" s="1"/>
  <c r="X46" i="24" s="1"/>
  <c r="O44" i="5" a="1"/>
  <c r="O44" i="5" s="1"/>
  <c r="E19" i="6"/>
  <c r="H24" i="6"/>
  <c r="Q41" i="6"/>
  <c r="Q43" i="6"/>
  <c r="S48" i="6"/>
  <c r="T41" i="7"/>
  <c r="Q43" i="7"/>
  <c r="T48" i="7"/>
  <c r="O44" i="8" a="1"/>
  <c r="O44" i="8" s="1"/>
  <c r="H17" i="9"/>
  <c r="H21" i="9"/>
  <c r="Q45" i="9"/>
  <c r="H11" i="10"/>
  <c r="H15" i="10"/>
  <c r="H24" i="10"/>
  <c r="S44" i="10"/>
  <c r="T45" i="10"/>
  <c r="Q47" i="10"/>
  <c r="R43" i="11"/>
  <c r="H21" i="12"/>
  <c r="R43" i="12"/>
  <c r="O48" i="12" a="1"/>
  <c r="O48" i="12" s="1"/>
  <c r="T41" i="13"/>
  <c r="Q43" i="13"/>
  <c r="O48" i="13" a="1"/>
  <c r="O48" i="13" s="1"/>
  <c r="H12" i="14"/>
  <c r="S42" i="14"/>
  <c r="R43" i="15"/>
  <c r="O48" i="15" a="1"/>
  <c r="O48" i="15" s="1"/>
  <c r="X48" i="15" s="1"/>
  <c r="S48" i="15"/>
  <c r="E33" i="16"/>
  <c r="H19" i="16"/>
  <c r="H11" i="16"/>
  <c r="E25" i="16"/>
  <c r="T46" i="17"/>
  <c r="T46" i="18"/>
  <c r="O45" i="20" a="1"/>
  <c r="O45" i="20" s="1"/>
  <c r="E38" i="21"/>
  <c r="T42" i="5"/>
  <c r="R47" i="5"/>
  <c r="O42" i="6" a="1"/>
  <c r="O42" i="6" s="1"/>
  <c r="T46" i="6"/>
  <c r="H20" i="7"/>
  <c r="S41" i="7"/>
  <c r="T46" i="7"/>
  <c r="T42" i="8"/>
  <c r="R47" i="8"/>
  <c r="R43" i="9"/>
  <c r="O48" i="9" a="1"/>
  <c r="O48" i="9" s="1"/>
  <c r="X48" i="9" s="1"/>
  <c r="S45" i="10"/>
  <c r="Q43" i="11"/>
  <c r="O48" i="11" a="1"/>
  <c r="O48" i="11" s="1"/>
  <c r="T41" i="12"/>
  <c r="Q43" i="12"/>
  <c r="T46" i="12"/>
  <c r="T48" i="12"/>
  <c r="O42" i="13" a="1"/>
  <c r="O42" i="13" s="1"/>
  <c r="T46" i="13"/>
  <c r="Q48" i="13"/>
  <c r="R47" i="14"/>
  <c r="T41" i="15"/>
  <c r="E16" i="15"/>
  <c r="H24" i="15"/>
  <c r="E19" i="15"/>
  <c r="T46" i="15"/>
  <c r="Q47" i="16"/>
  <c r="S47" i="16"/>
  <c r="E16" i="17"/>
  <c r="H24" i="17"/>
  <c r="E29" i="17"/>
  <c r="E19" i="17"/>
  <c r="E16" i="18"/>
  <c r="H38" i="18"/>
  <c r="E19" i="18"/>
  <c r="H24" i="18"/>
  <c r="E36" i="21"/>
  <c r="H33" i="21"/>
  <c r="O48" i="21" a="1"/>
  <c r="O48" i="21" s="1"/>
  <c r="X48" i="21" s="1"/>
  <c r="S48" i="21"/>
  <c r="H19" i="22"/>
  <c r="H11" i="22"/>
  <c r="E15" i="22"/>
  <c r="T45" i="14"/>
  <c r="Q47" i="14"/>
  <c r="S43" i="15"/>
  <c r="R44" i="15"/>
  <c r="E30" i="16"/>
  <c r="R43" i="16"/>
  <c r="T47" i="16"/>
  <c r="E32" i="17"/>
  <c r="S41" i="17"/>
  <c r="O44" i="17" a="1"/>
  <c r="O44" i="17" s="1"/>
  <c r="T42" i="18"/>
  <c r="Q44" i="18"/>
  <c r="E32" i="19"/>
  <c r="H37" i="19"/>
  <c r="S43" i="19"/>
  <c r="O44" i="19" a="1"/>
  <c r="O44" i="19" s="1"/>
  <c r="E30" i="20"/>
  <c r="E36" i="20"/>
  <c r="T41" i="20"/>
  <c r="H30" i="21"/>
  <c r="H34" i="21"/>
  <c r="T45" i="21"/>
  <c r="Q47" i="21"/>
  <c r="S41" i="22"/>
  <c r="O42" i="22" a="1"/>
  <c r="O42" i="22" s="1"/>
  <c r="T46" i="22"/>
  <c r="T48" i="22"/>
  <c r="H33" i="23"/>
  <c r="T45" i="23"/>
  <c r="E15" i="24"/>
  <c r="E19" i="24"/>
  <c r="H24" i="24"/>
  <c r="R43" i="24"/>
  <c r="E12" i="25"/>
  <c r="E33" i="25"/>
  <c r="T42" i="25"/>
  <c r="E20" i="26"/>
  <c r="H38" i="26"/>
  <c r="Q42" i="26"/>
  <c r="T45" i="26"/>
  <c r="Q47" i="26"/>
  <c r="E20" i="27"/>
  <c r="E25" i="27"/>
  <c r="R46" i="27"/>
  <c r="O48" i="27" a="1"/>
  <c r="O48" i="27" s="1"/>
  <c r="X48" i="27" s="1"/>
  <c r="E12" i="28"/>
  <c r="E16" i="28"/>
  <c r="H38" i="28"/>
  <c r="S42" i="28"/>
  <c r="T45" i="28"/>
  <c r="Q47" i="28"/>
  <c r="E15" i="29"/>
  <c r="H19" i="29"/>
  <c r="E24" i="29"/>
  <c r="H33" i="29"/>
  <c r="H38" i="29"/>
  <c r="Q42" i="29"/>
  <c r="Q47" i="29"/>
  <c r="E34" i="30"/>
  <c r="T45" i="30"/>
  <c r="Q47" i="30"/>
  <c r="O44" i="15" a="1"/>
  <c r="O44" i="15" s="1"/>
  <c r="T48" i="15"/>
  <c r="H21" i="16"/>
  <c r="H25" i="16"/>
  <c r="T41" i="16"/>
  <c r="Q43" i="16"/>
  <c r="S48" i="16"/>
  <c r="E12" i="17"/>
  <c r="T42" i="17"/>
  <c r="S46" i="17"/>
  <c r="T47" i="17"/>
  <c r="S42" i="18"/>
  <c r="R47" i="18"/>
  <c r="H23" i="19"/>
  <c r="E27" i="19"/>
  <c r="S41" i="19"/>
  <c r="Q44" i="19"/>
  <c r="S45" i="20"/>
  <c r="T48" i="20"/>
  <c r="E16" i="21"/>
  <c r="E25" i="21"/>
  <c r="T43" i="21"/>
  <c r="Q45" i="21"/>
  <c r="R47" i="21"/>
  <c r="O43" i="22" a="1"/>
  <c r="O43" i="22" s="1"/>
  <c r="E24" i="23"/>
  <c r="E29" i="23"/>
  <c r="S42" i="23"/>
  <c r="R43" i="23"/>
  <c r="H11" i="24"/>
  <c r="H15" i="24"/>
  <c r="E30" i="24"/>
  <c r="T41" i="24"/>
  <c r="Q43" i="24"/>
  <c r="T46" i="24"/>
  <c r="O48" i="24" a="1"/>
  <c r="O48" i="24" s="1"/>
  <c r="X48" i="24" s="1"/>
  <c r="E24" i="25"/>
  <c r="H33" i="25"/>
  <c r="S42" i="25"/>
  <c r="T45" i="25"/>
  <c r="R47" i="25"/>
  <c r="E15" i="26"/>
  <c r="S45" i="26"/>
  <c r="O46" i="26" a="1"/>
  <c r="O46" i="26" s="1"/>
  <c r="H25" i="27"/>
  <c r="E32" i="27"/>
  <c r="T44" i="27"/>
  <c r="T46" i="27"/>
  <c r="H12" i="28"/>
  <c r="S45" i="28"/>
  <c r="O46" i="28" a="1"/>
  <c r="O46" i="28" s="1"/>
  <c r="H11" i="29"/>
  <c r="H24" i="29"/>
  <c r="E29" i="29"/>
  <c r="R42" i="29"/>
  <c r="S45" i="29"/>
  <c r="E15" i="30"/>
  <c r="S45" i="30"/>
  <c r="R47" i="30"/>
  <c r="S48" i="30"/>
  <c r="R41" i="23"/>
  <c r="Q43" i="23"/>
  <c r="T48" i="23"/>
  <c r="Q41" i="24"/>
  <c r="R45" i="17"/>
  <c r="R43" i="18"/>
  <c r="S42" i="19"/>
  <c r="T42" i="20"/>
  <c r="O44" i="20" a="1"/>
  <c r="O44" i="20" s="1"/>
  <c r="Q46" i="20"/>
  <c r="T41" i="21"/>
  <c r="T46" i="21"/>
  <c r="H21" i="22"/>
  <c r="H25" i="22"/>
  <c r="E38" i="22"/>
  <c r="T42" i="22"/>
  <c r="R47" i="22"/>
  <c r="E36" i="23"/>
  <c r="T41" i="23"/>
  <c r="O48" i="23" a="1"/>
  <c r="O48" i="23" s="1"/>
  <c r="X48" i="23" s="1"/>
  <c r="E16" i="24"/>
  <c r="S43" i="24"/>
  <c r="T47" i="25"/>
  <c r="T41" i="26"/>
  <c r="Q43" i="26"/>
  <c r="Q42" i="27"/>
  <c r="S46" i="27"/>
  <c r="O47" i="27" a="1"/>
  <c r="O47" i="27" s="1"/>
  <c r="T41" i="28"/>
  <c r="Q43" i="28"/>
  <c r="S48" i="28"/>
  <c r="E16" i="29"/>
  <c r="Q43" i="29"/>
  <c r="T48" i="29"/>
  <c r="S41" i="30"/>
  <c r="R43" i="30"/>
  <c r="O44" i="16" a="1"/>
  <c r="O44" i="16" s="1"/>
  <c r="S42" i="17"/>
  <c r="T43" i="17"/>
  <c r="T41" i="18"/>
  <c r="Q43" i="18"/>
  <c r="O47" i="18" a="1"/>
  <c r="O47" i="18" s="1"/>
  <c r="T45" i="19"/>
  <c r="Q42" i="20"/>
  <c r="O44" i="21" a="1"/>
  <c r="O44" i="21" s="1"/>
  <c r="T45" i="22"/>
  <c r="S43" i="23"/>
  <c r="T44" i="23"/>
  <c r="T46" i="23"/>
  <c r="H12" i="24"/>
  <c r="T42" i="24"/>
  <c r="O44" i="24" a="1"/>
  <c r="O44" i="24" s="1"/>
  <c r="X44" i="24" s="1"/>
  <c r="S46" i="24"/>
  <c r="E20" i="25"/>
  <c r="T41" i="25"/>
  <c r="Q43" i="25"/>
  <c r="O48" i="25" a="1"/>
  <c r="O48" i="25" s="1"/>
  <c r="X48" i="25" s="1"/>
  <c r="O42" i="26" a="1"/>
  <c r="O42" i="26" s="1"/>
  <c r="T46" i="26"/>
  <c r="O48" i="26" a="1"/>
  <c r="O48" i="26" s="1"/>
  <c r="X48" i="26" s="1"/>
  <c r="H17" i="27"/>
  <c r="H36" i="28"/>
  <c r="O42" i="28" a="1"/>
  <c r="O42" i="28" s="1"/>
  <c r="T46" i="28"/>
  <c r="H36" i="29"/>
  <c r="T45" i="29"/>
  <c r="T46" i="29"/>
  <c r="O44" i="30" a="1"/>
  <c r="O44" i="30" s="1"/>
  <c r="T46" i="30"/>
  <c r="T42" i="14"/>
  <c r="O44" i="14" a="1"/>
  <c r="O44" i="14" s="1"/>
  <c r="S48" i="14"/>
  <c r="T43" i="15"/>
  <c r="Q45" i="15"/>
  <c r="T42" i="16"/>
  <c r="S46" i="16"/>
  <c r="R47" i="16"/>
  <c r="T41" i="17"/>
  <c r="R43" i="17"/>
  <c r="S45" i="17"/>
  <c r="T48" i="17"/>
  <c r="S45" i="18"/>
  <c r="O48" i="18" a="1"/>
  <c r="O48" i="18" s="1"/>
  <c r="X48" i="18" s="1"/>
  <c r="E12" i="19"/>
  <c r="R43" i="19"/>
  <c r="S47" i="19"/>
  <c r="O48" i="19" a="1"/>
  <c r="O48" i="19" s="1"/>
  <c r="X48" i="19" s="1"/>
  <c r="S46" i="20"/>
  <c r="R47" i="20"/>
  <c r="E23" i="21"/>
  <c r="E29" i="21"/>
  <c r="T42" i="21"/>
  <c r="T48" i="21"/>
  <c r="E17" i="22"/>
  <c r="S45" i="22"/>
  <c r="S41" i="23"/>
  <c r="O44" i="23" a="1"/>
  <c r="O44" i="23" s="1"/>
  <c r="X44" i="23" s="1"/>
  <c r="H32" i="24"/>
  <c r="Q42" i="24"/>
  <c r="R47" i="24"/>
  <c r="E32" i="25"/>
  <c r="H36" i="25"/>
  <c r="T46" i="25"/>
  <c r="Q48" i="25"/>
  <c r="H24" i="26"/>
  <c r="S43" i="26"/>
  <c r="T44" i="26"/>
  <c r="Q46" i="26"/>
  <c r="S42" i="27"/>
  <c r="T43" i="27"/>
  <c r="T45" i="27"/>
  <c r="E15" i="28"/>
  <c r="S43" i="28"/>
  <c r="S46" i="28"/>
  <c r="S43" i="29"/>
  <c r="R44" i="29"/>
  <c r="Q46" i="29"/>
  <c r="H12" i="30"/>
  <c r="S42" i="30"/>
  <c r="T43" i="25"/>
  <c r="S46" i="25"/>
  <c r="O44" i="26" a="1"/>
  <c r="O44" i="26" s="1"/>
  <c r="R43" i="27"/>
  <c r="O44" i="28" a="1"/>
  <c r="O44" i="28" s="1"/>
  <c r="O44" i="29" a="1"/>
  <c r="O44" i="29" s="1"/>
  <c r="R46" i="29"/>
  <c r="H33" i="30"/>
  <c r="T42" i="30"/>
  <c r="O43" i="30" a="1"/>
  <c r="O43" i="30" s="1"/>
  <c r="E20" i="17"/>
  <c r="S43" i="17"/>
  <c r="T44" i="17"/>
  <c r="Q46" i="17"/>
  <c r="S41" i="18"/>
  <c r="Q46" i="18"/>
  <c r="T41" i="19"/>
  <c r="T46" i="19"/>
  <c r="Q43" i="20"/>
  <c r="T45" i="20"/>
  <c r="H11" i="21"/>
  <c r="H24" i="21"/>
  <c r="T44" i="21"/>
  <c r="T47" i="21"/>
  <c r="T41" i="22"/>
  <c r="O48" i="22" a="1"/>
  <c r="O48" i="22" s="1"/>
  <c r="X48" i="22" s="1"/>
  <c r="E17" i="23"/>
  <c r="H38" i="23"/>
  <c r="T42" i="23"/>
  <c r="R45" i="23"/>
  <c r="Q47" i="23"/>
  <c r="S42" i="24"/>
  <c r="Q45" i="24"/>
  <c r="E17" i="25"/>
  <c r="O44" i="25" a="1"/>
  <c r="O44" i="25" s="1"/>
  <c r="H13" i="26"/>
  <c r="T42" i="26"/>
  <c r="S46" i="26"/>
  <c r="R47" i="26"/>
  <c r="T41" i="27"/>
  <c r="T48" i="27"/>
  <c r="T42" i="28"/>
  <c r="R47" i="28"/>
  <c r="T41" i="29"/>
  <c r="T42" i="29"/>
  <c r="S46" i="29"/>
  <c r="R47" i="29"/>
  <c r="E23" i="30"/>
  <c r="E29" i="30"/>
  <c r="H13" i="30"/>
  <c r="E17" i="30"/>
  <c r="O41" i="30" a="1"/>
  <c r="O41" i="30" s="1"/>
  <c r="S43" i="30"/>
  <c r="Q44" i="30"/>
  <c r="O45" i="30" a="1"/>
  <c r="O45" i="30" s="1"/>
  <c r="S47" i="30"/>
  <c r="Q48" i="30"/>
  <c r="Q45" i="30"/>
  <c r="E11" i="30"/>
  <c r="E21" i="30"/>
  <c r="E33" i="30"/>
  <c r="T43" i="30"/>
  <c r="R44" i="30"/>
  <c r="T47" i="30"/>
  <c r="R48" i="30"/>
  <c r="H37" i="30"/>
  <c r="R41" i="30"/>
  <c r="T44" i="30"/>
  <c r="R45" i="30"/>
  <c r="T48" i="30"/>
  <c r="Q41" i="30"/>
  <c r="Q42" i="30"/>
  <c r="Q46" i="30"/>
  <c r="O47" i="30" a="1"/>
  <c r="O47" i="30" s="1"/>
  <c r="X47" i="30" s="1"/>
  <c r="H23" i="30"/>
  <c r="E27" i="30"/>
  <c r="R42" i="30"/>
  <c r="R46" i="30"/>
  <c r="E20" i="30"/>
  <c r="H27" i="30"/>
  <c r="E24" i="30"/>
  <c r="Q48" i="29"/>
  <c r="E11" i="29"/>
  <c r="E21" i="29"/>
  <c r="H29" i="29"/>
  <c r="E33" i="29"/>
  <c r="T43" i="29"/>
  <c r="T47" i="29"/>
  <c r="R48" i="29"/>
  <c r="E37" i="29"/>
  <c r="Q41" i="29"/>
  <c r="O42" i="29" a="1"/>
  <c r="O42" i="29" s="1"/>
  <c r="S44" i="29"/>
  <c r="Q45" i="29"/>
  <c r="O46" i="29" a="1"/>
  <c r="O46" i="29" s="1"/>
  <c r="S48" i="29"/>
  <c r="R41" i="29"/>
  <c r="T44" i="29"/>
  <c r="R45" i="29"/>
  <c r="E23" i="29"/>
  <c r="H30" i="29"/>
  <c r="O43" i="29" a="1"/>
  <c r="O43" i="29" s="1"/>
  <c r="X43" i="29" s="1"/>
  <c r="O47" i="29" a="1"/>
  <c r="O47" i="29" s="1"/>
  <c r="Q44" i="29"/>
  <c r="H34" i="29"/>
  <c r="H16" i="29"/>
  <c r="E13" i="29"/>
  <c r="Q44" i="28"/>
  <c r="Q48" i="28"/>
  <c r="E11" i="28"/>
  <c r="E21" i="28"/>
  <c r="H29" i="28"/>
  <c r="E33" i="28"/>
  <c r="T43" i="28"/>
  <c r="R44" i="28"/>
  <c r="T47" i="28"/>
  <c r="R48" i="28"/>
  <c r="H37" i="28"/>
  <c r="R41" i="28"/>
  <c r="T44" i="28"/>
  <c r="R45" i="28"/>
  <c r="T48" i="28"/>
  <c r="E37" i="28"/>
  <c r="Q41" i="28"/>
  <c r="S44" i="28"/>
  <c r="Q45" i="28"/>
  <c r="E23" i="28"/>
  <c r="H30" i="28"/>
  <c r="Q42" i="28"/>
  <c r="O43" i="28" a="1"/>
  <c r="O43" i="28" s="1"/>
  <c r="X43" i="28" s="1"/>
  <c r="Q46" i="28"/>
  <c r="O47" i="28" a="1"/>
  <c r="O47" i="28" s="1"/>
  <c r="H23" i="28"/>
  <c r="H34" i="28"/>
  <c r="R42" i="28"/>
  <c r="R46" i="28"/>
  <c r="H16" i="28"/>
  <c r="H27" i="28"/>
  <c r="E13" i="28"/>
  <c r="E24" i="28"/>
  <c r="Q48" i="27"/>
  <c r="E11" i="27"/>
  <c r="E21" i="27"/>
  <c r="H29" i="27"/>
  <c r="E33" i="27"/>
  <c r="R44" i="27"/>
  <c r="T47" i="27"/>
  <c r="R48" i="27"/>
  <c r="Q44" i="27"/>
  <c r="E37" i="27"/>
  <c r="Q41" i="27"/>
  <c r="O42" i="27" a="1"/>
  <c r="O42" i="27" s="1"/>
  <c r="S44" i="27"/>
  <c r="Q45" i="27"/>
  <c r="O46" i="27" a="1"/>
  <c r="O46" i="27" s="1"/>
  <c r="S48" i="27"/>
  <c r="H15" i="27"/>
  <c r="E19" i="27"/>
  <c r="R41" i="27"/>
  <c r="R45" i="27"/>
  <c r="E23" i="27"/>
  <c r="H30" i="27"/>
  <c r="E34" i="27"/>
  <c r="S41" i="27"/>
  <c r="O43" i="27" a="1"/>
  <c r="O43" i="27" s="1"/>
  <c r="S45" i="27"/>
  <c r="Q46" i="27"/>
  <c r="H12" i="27"/>
  <c r="H23" i="27"/>
  <c r="H34" i="27"/>
  <c r="R42" i="27"/>
  <c r="H16" i="27"/>
  <c r="Q43" i="27"/>
  <c r="Q47" i="27"/>
  <c r="E13" i="27"/>
  <c r="Q44" i="26"/>
  <c r="Q48" i="26"/>
  <c r="E11" i="26"/>
  <c r="E21" i="26"/>
  <c r="H29" i="26"/>
  <c r="E33" i="26"/>
  <c r="T43" i="26"/>
  <c r="R44" i="26"/>
  <c r="T47" i="26"/>
  <c r="R48" i="26"/>
  <c r="E37" i="26"/>
  <c r="Q41" i="26"/>
  <c r="S44" i="26"/>
  <c r="Q45" i="26"/>
  <c r="S48" i="26"/>
  <c r="H15" i="26"/>
  <c r="E19" i="26"/>
  <c r="H37" i="26"/>
  <c r="R41" i="26"/>
  <c r="R45" i="26"/>
  <c r="E23" i="26"/>
  <c r="H30" i="26"/>
  <c r="E34" i="26"/>
  <c r="O43" i="26" a="1"/>
  <c r="O43" i="26" s="1"/>
  <c r="X43" i="26" s="1"/>
  <c r="O47" i="26" a="1"/>
  <c r="O47" i="26" s="1"/>
  <c r="H12" i="26"/>
  <c r="H23" i="26"/>
  <c r="H34" i="26"/>
  <c r="R42" i="26"/>
  <c r="R46" i="26"/>
  <c r="H16" i="26"/>
  <c r="H27" i="26"/>
  <c r="E13" i="26"/>
  <c r="E24" i="26"/>
  <c r="S43" i="25"/>
  <c r="Q44" i="25"/>
  <c r="E21" i="25"/>
  <c r="E37" i="25"/>
  <c r="Q41" i="25"/>
  <c r="O42" i="25" a="1"/>
  <c r="O42" i="25" s="1"/>
  <c r="X45" i="25" s="1"/>
  <c r="S44" i="25"/>
  <c r="Q45" i="25"/>
  <c r="O46" i="25" a="1"/>
  <c r="O46" i="25" s="1"/>
  <c r="S48" i="25"/>
  <c r="R48" i="25"/>
  <c r="H15" i="25"/>
  <c r="E19" i="25"/>
  <c r="R41" i="25"/>
  <c r="T44" i="25"/>
  <c r="R45" i="25"/>
  <c r="T48" i="25"/>
  <c r="E23" i="25"/>
  <c r="H30" i="25"/>
  <c r="E34" i="25"/>
  <c r="S41" i="25"/>
  <c r="Q42" i="25"/>
  <c r="O43" i="25" a="1"/>
  <c r="O43" i="25" s="1"/>
  <c r="S45" i="25"/>
  <c r="Q46" i="25"/>
  <c r="O47" i="25" a="1"/>
  <c r="O47" i="25" s="1"/>
  <c r="E11" i="25"/>
  <c r="R44" i="25"/>
  <c r="H12" i="25"/>
  <c r="H23" i="25"/>
  <c r="H34" i="25"/>
  <c r="R42" i="25"/>
  <c r="R46" i="25"/>
  <c r="H16" i="25"/>
  <c r="Q47" i="25"/>
  <c r="E13" i="25"/>
  <c r="H13" i="24"/>
  <c r="E17" i="24"/>
  <c r="O41" i="24" a="1"/>
  <c r="O41" i="24" s="1"/>
  <c r="X41" i="24" s="1"/>
  <c r="Q44" i="24"/>
  <c r="O45" i="24" a="1"/>
  <c r="O45" i="24" s="1"/>
  <c r="X45" i="24" s="1"/>
  <c r="S47" i="24"/>
  <c r="Q48" i="24"/>
  <c r="E11" i="24"/>
  <c r="E21" i="24"/>
  <c r="H29" i="24"/>
  <c r="E33" i="24"/>
  <c r="T43" i="24"/>
  <c r="R44" i="24"/>
  <c r="T47" i="24"/>
  <c r="R48" i="24"/>
  <c r="H37" i="24"/>
  <c r="R41" i="24"/>
  <c r="T44" i="24"/>
  <c r="R45" i="24"/>
  <c r="T48" i="24"/>
  <c r="E23" i="24"/>
  <c r="S41" i="24"/>
  <c r="O43" i="24" a="1"/>
  <c r="O43" i="24" s="1"/>
  <c r="X43" i="24" s="1"/>
  <c r="S45" i="24"/>
  <c r="Q46" i="24"/>
  <c r="O47" i="24" a="1"/>
  <c r="O47" i="24" s="1"/>
  <c r="X47" i="24" s="1"/>
  <c r="H33" i="24"/>
  <c r="H34" i="24"/>
  <c r="R42" i="24"/>
  <c r="R46" i="24"/>
  <c r="H27" i="24"/>
  <c r="E24" i="24"/>
  <c r="Q48" i="23"/>
  <c r="E11" i="23"/>
  <c r="E21" i="23"/>
  <c r="H29" i="23"/>
  <c r="E33" i="23"/>
  <c r="T43" i="23"/>
  <c r="R44" i="23"/>
  <c r="T47" i="23"/>
  <c r="R48" i="23"/>
  <c r="E37" i="23"/>
  <c r="Q41" i="23"/>
  <c r="O42" i="23" a="1"/>
  <c r="O42" i="23" s="1"/>
  <c r="X42" i="23" s="1"/>
  <c r="S44" i="23"/>
  <c r="Q45" i="23"/>
  <c r="O46" i="23" a="1"/>
  <c r="O46" i="23" s="1"/>
  <c r="X46" i="23" s="1"/>
  <c r="S48" i="23"/>
  <c r="Q44" i="23"/>
  <c r="H15" i="23"/>
  <c r="E19" i="23"/>
  <c r="E23" i="23"/>
  <c r="H30" i="23"/>
  <c r="E34" i="23"/>
  <c r="Q42" i="23"/>
  <c r="O43" i="23" a="1"/>
  <c r="O43" i="23" s="1"/>
  <c r="X43" i="23" s="1"/>
  <c r="Q46" i="23"/>
  <c r="O47" i="23" a="1"/>
  <c r="O47" i="23" s="1"/>
  <c r="X47" i="23" s="1"/>
  <c r="H12" i="23"/>
  <c r="H23" i="23"/>
  <c r="H34" i="23"/>
  <c r="R42" i="23"/>
  <c r="R46" i="23"/>
  <c r="H16" i="23"/>
  <c r="E13" i="23"/>
  <c r="Q48" i="22"/>
  <c r="E11" i="22"/>
  <c r="E21" i="22"/>
  <c r="H29" i="22"/>
  <c r="E33" i="22"/>
  <c r="T43" i="22"/>
  <c r="R44" i="22"/>
  <c r="R48" i="22"/>
  <c r="E37" i="22"/>
  <c r="Q41" i="22"/>
  <c r="S44" i="22"/>
  <c r="Q45" i="22"/>
  <c r="O46" i="22" a="1"/>
  <c r="O46" i="22" s="1"/>
  <c r="S48" i="22"/>
  <c r="H37" i="22"/>
  <c r="R41" i="22"/>
  <c r="T44" i="22"/>
  <c r="R45" i="22"/>
  <c r="S43" i="22"/>
  <c r="E23" i="22"/>
  <c r="H30" i="22"/>
  <c r="E34" i="22"/>
  <c r="Q42" i="22"/>
  <c r="Q46" i="22"/>
  <c r="O47" i="22" a="1"/>
  <c r="O47" i="22" s="1"/>
  <c r="H34" i="22"/>
  <c r="R42" i="22"/>
  <c r="R46" i="22"/>
  <c r="Q44" i="22"/>
  <c r="H16" i="22"/>
  <c r="E20" i="22"/>
  <c r="S42" i="22"/>
  <c r="Q43" i="22"/>
  <c r="S46" i="22"/>
  <c r="Q47" i="22"/>
  <c r="E13" i="22"/>
  <c r="H13" i="21"/>
  <c r="E17" i="21"/>
  <c r="O41" i="21" a="1"/>
  <c r="O41" i="21" s="1"/>
  <c r="S43" i="21"/>
  <c r="Q44" i="21"/>
  <c r="O45" i="21" a="1"/>
  <c r="O45" i="21" s="1"/>
  <c r="S47" i="21"/>
  <c r="Q48" i="21"/>
  <c r="E11" i="21"/>
  <c r="E21" i="21"/>
  <c r="E33" i="21"/>
  <c r="R44" i="21"/>
  <c r="R48" i="21"/>
  <c r="Q41" i="21"/>
  <c r="R45" i="21"/>
  <c r="H19" i="21"/>
  <c r="S41" i="21"/>
  <c r="Q42" i="21"/>
  <c r="S45" i="21"/>
  <c r="Q46" i="21"/>
  <c r="O47" i="21" a="1"/>
  <c r="O47" i="21" s="1"/>
  <c r="R41" i="21"/>
  <c r="H23" i="21"/>
  <c r="R42" i="21"/>
  <c r="R46" i="21"/>
  <c r="H27" i="21"/>
  <c r="S42" i="21"/>
  <c r="Q43" i="21"/>
  <c r="S46" i="21"/>
  <c r="E24" i="21"/>
  <c r="H36" i="20"/>
  <c r="E11" i="20"/>
  <c r="E21" i="20"/>
  <c r="H29" i="20"/>
  <c r="E33" i="20"/>
  <c r="T43" i="20"/>
  <c r="R44" i="20"/>
  <c r="T47" i="20"/>
  <c r="R48" i="20"/>
  <c r="Q48" i="20"/>
  <c r="E37" i="20"/>
  <c r="Q41" i="20"/>
  <c r="O42" i="20" a="1"/>
  <c r="O42" i="20" s="1"/>
  <c r="S44" i="20"/>
  <c r="Q45" i="20"/>
  <c r="O46" i="20" a="1"/>
  <c r="O46" i="20" s="1"/>
  <c r="S48" i="20"/>
  <c r="H15" i="20"/>
  <c r="E19" i="20"/>
  <c r="R41" i="20"/>
  <c r="R45" i="20"/>
  <c r="E23" i="20"/>
  <c r="H30" i="20"/>
  <c r="O43" i="20" a="1"/>
  <c r="O43" i="20" s="1"/>
  <c r="O47" i="20" a="1"/>
  <c r="O47" i="20" s="1"/>
  <c r="H12" i="20"/>
  <c r="H23" i="20"/>
  <c r="H34" i="20"/>
  <c r="R42" i="20"/>
  <c r="R46" i="20"/>
  <c r="H16" i="20"/>
  <c r="E13" i="20"/>
  <c r="E11" i="19"/>
  <c r="E21" i="19"/>
  <c r="H29" i="19"/>
  <c r="T43" i="19"/>
  <c r="R44" i="19"/>
  <c r="T47" i="19"/>
  <c r="R48" i="19"/>
  <c r="E37" i="19"/>
  <c r="Q41" i="19"/>
  <c r="O42" i="19" a="1"/>
  <c r="O42" i="19" s="1"/>
  <c r="S44" i="19"/>
  <c r="Q45" i="19"/>
  <c r="O46" i="19" a="1"/>
  <c r="O46" i="19" s="1"/>
  <c r="S48" i="19"/>
  <c r="R41" i="19"/>
  <c r="T44" i="19"/>
  <c r="R45" i="19"/>
  <c r="T48" i="19"/>
  <c r="E23" i="19"/>
  <c r="H30" i="19"/>
  <c r="E34" i="19"/>
  <c r="Q42" i="19"/>
  <c r="O43" i="19" a="1"/>
  <c r="O43" i="19" s="1"/>
  <c r="X43" i="19" s="1"/>
  <c r="S45" i="19"/>
  <c r="Q46" i="19"/>
  <c r="O47" i="19" a="1"/>
  <c r="O47" i="19" s="1"/>
  <c r="H34" i="19"/>
  <c r="R42" i="19"/>
  <c r="R46" i="19"/>
  <c r="H16" i="19"/>
  <c r="S46" i="19"/>
  <c r="Q47" i="19"/>
  <c r="E13" i="19"/>
  <c r="E21" i="18"/>
  <c r="H29" i="18"/>
  <c r="T43" i="18"/>
  <c r="R44" i="18"/>
  <c r="R48" i="18"/>
  <c r="H21" i="18"/>
  <c r="E37" i="18"/>
  <c r="Q41" i="18"/>
  <c r="O42" i="18" a="1"/>
  <c r="O42" i="18" s="1"/>
  <c r="S44" i="18"/>
  <c r="Q45" i="18"/>
  <c r="O46" i="18" a="1"/>
  <c r="O46" i="18" s="1"/>
  <c r="S48" i="18"/>
  <c r="E11" i="18"/>
  <c r="T47" i="18"/>
  <c r="H15" i="18"/>
  <c r="H25" i="18"/>
  <c r="E30" i="18"/>
  <c r="R41" i="18"/>
  <c r="T44" i="18"/>
  <c r="R45" i="18"/>
  <c r="T48" i="18"/>
  <c r="E23" i="18"/>
  <c r="E34" i="18"/>
  <c r="H23" i="18"/>
  <c r="E27" i="18"/>
  <c r="H34" i="18"/>
  <c r="E38" i="18"/>
  <c r="R42" i="18"/>
  <c r="R46" i="18"/>
  <c r="H30" i="18"/>
  <c r="Q42" i="18"/>
  <c r="H16" i="18"/>
  <c r="E20" i="18"/>
  <c r="O44" i="18" a="1"/>
  <c r="O44" i="18" s="1"/>
  <c r="S46" i="18"/>
  <c r="E13" i="18"/>
  <c r="E11" i="17"/>
  <c r="E21" i="17"/>
  <c r="H29" i="17"/>
  <c r="E33" i="17"/>
  <c r="R44" i="17"/>
  <c r="R48" i="17"/>
  <c r="E37" i="17"/>
  <c r="Q41" i="17"/>
  <c r="O42" i="17" a="1"/>
  <c r="O42" i="17" s="1"/>
  <c r="S44" i="17"/>
  <c r="Q45" i="17"/>
  <c r="O46" i="17" a="1"/>
  <c r="O46" i="17" s="1"/>
  <c r="S48" i="17"/>
  <c r="Q48" i="17"/>
  <c r="E23" i="17"/>
  <c r="H30" i="17"/>
  <c r="E34" i="17"/>
  <c r="O43" i="17" a="1"/>
  <c r="O43" i="17" s="1"/>
  <c r="O47" i="17" a="1"/>
  <c r="O47" i="17" s="1"/>
  <c r="H12" i="17"/>
  <c r="H23" i="17"/>
  <c r="H34" i="17"/>
  <c r="R42" i="17"/>
  <c r="R46" i="17"/>
  <c r="Q44" i="17"/>
  <c r="H16" i="17"/>
  <c r="Q43" i="17"/>
  <c r="Q47" i="17"/>
  <c r="E13" i="17"/>
  <c r="S43" i="16"/>
  <c r="H29" i="16"/>
  <c r="R44" i="16"/>
  <c r="R48" i="16"/>
  <c r="E37" i="16"/>
  <c r="Q41" i="16"/>
  <c r="O42" i="16" a="1"/>
  <c r="O42" i="16" s="1"/>
  <c r="S44" i="16"/>
  <c r="Q45" i="16"/>
  <c r="O46" i="16" a="1"/>
  <c r="O46" i="16" s="1"/>
  <c r="R41" i="16"/>
  <c r="T44" i="16"/>
  <c r="R45" i="16"/>
  <c r="T48" i="16"/>
  <c r="E23" i="16"/>
  <c r="H30" i="16"/>
  <c r="E34" i="16"/>
  <c r="S41" i="16"/>
  <c r="Q42" i="16"/>
  <c r="O43" i="16" a="1"/>
  <c r="O43" i="16" s="1"/>
  <c r="S45" i="16"/>
  <c r="O47" i="16" a="1"/>
  <c r="O47" i="16" s="1"/>
  <c r="H36" i="16"/>
  <c r="H34" i="16"/>
  <c r="R42" i="16"/>
  <c r="R46" i="16"/>
  <c r="Q44" i="16"/>
  <c r="Q48" i="16"/>
  <c r="E11" i="16"/>
  <c r="H16" i="16"/>
  <c r="E13" i="16"/>
  <c r="H13" i="15"/>
  <c r="E17" i="15"/>
  <c r="O41" i="15" a="1"/>
  <c r="O41" i="15" s="1"/>
  <c r="Q44" i="15"/>
  <c r="O45" i="15" a="1"/>
  <c r="O45" i="15" s="1"/>
  <c r="S47" i="15"/>
  <c r="Q48" i="15"/>
  <c r="Q41" i="15"/>
  <c r="E11" i="15"/>
  <c r="E21" i="15"/>
  <c r="H29" i="15"/>
  <c r="E33" i="15"/>
  <c r="R48" i="15"/>
  <c r="H37" i="15"/>
  <c r="R45" i="15"/>
  <c r="E23" i="15"/>
  <c r="S41" i="15"/>
  <c r="Q42" i="15"/>
  <c r="O43" i="15" a="1"/>
  <c r="O43" i="15" s="1"/>
  <c r="S45" i="15"/>
  <c r="Q46" i="15"/>
  <c r="O47" i="15" a="1"/>
  <c r="O47" i="15" s="1"/>
  <c r="H12" i="15"/>
  <c r="H23" i="15"/>
  <c r="R42" i="15"/>
  <c r="R46" i="15"/>
  <c r="H27" i="15"/>
  <c r="S42" i="15"/>
  <c r="Q43" i="15"/>
  <c r="S46" i="15"/>
  <c r="Q47" i="15"/>
  <c r="E24" i="15"/>
  <c r="E15" i="14"/>
  <c r="O41" i="14" a="1"/>
  <c r="O41" i="14" s="1"/>
  <c r="S43" i="14"/>
  <c r="Q44" i="14"/>
  <c r="O45" i="14" a="1"/>
  <c r="O45" i="14" s="1"/>
  <c r="S47" i="14"/>
  <c r="Q48" i="14"/>
  <c r="E34" i="14"/>
  <c r="R44" i="14"/>
  <c r="R48" i="14"/>
  <c r="H13" i="14"/>
  <c r="E24" i="14"/>
  <c r="H29" i="14"/>
  <c r="H37" i="14"/>
  <c r="R41" i="14"/>
  <c r="T44" i="14"/>
  <c r="R45" i="14"/>
  <c r="S41" i="14"/>
  <c r="Q42" i="14"/>
  <c r="O43" i="14" a="1"/>
  <c r="O43" i="14" s="1"/>
  <c r="X43" i="14" s="1"/>
  <c r="S45" i="14"/>
  <c r="Q46" i="14"/>
  <c r="O47" i="14" a="1"/>
  <c r="O47" i="14" s="1"/>
  <c r="H11" i="14"/>
  <c r="H19" i="14"/>
  <c r="E22" i="14"/>
  <c r="H27" i="14"/>
  <c r="R42" i="14"/>
  <c r="R46" i="14"/>
  <c r="E17" i="14"/>
  <c r="E25" i="14"/>
  <c r="E33" i="14"/>
  <c r="H33" i="14"/>
  <c r="H36" i="13"/>
  <c r="E26" i="13"/>
  <c r="E13" i="13"/>
  <c r="H18" i="13"/>
  <c r="E21" i="13"/>
  <c r="H34" i="13"/>
  <c r="E37" i="13"/>
  <c r="Q41" i="13"/>
  <c r="S44" i="13"/>
  <c r="Q45" i="13"/>
  <c r="O46" i="13" a="1"/>
  <c r="O46" i="13" s="1"/>
  <c r="S48" i="13"/>
  <c r="R44" i="13"/>
  <c r="H29" i="13"/>
  <c r="H37" i="13"/>
  <c r="R41" i="13"/>
  <c r="T44" i="13"/>
  <c r="R45" i="13"/>
  <c r="T48" i="13"/>
  <c r="S43" i="13"/>
  <c r="E11" i="13"/>
  <c r="H16" i="13"/>
  <c r="S41" i="13"/>
  <c r="Q42" i="13"/>
  <c r="O43" i="13" a="1"/>
  <c r="O43" i="13" s="1"/>
  <c r="S45" i="13"/>
  <c r="O47" i="13" a="1"/>
  <c r="O47" i="13" s="1"/>
  <c r="X47" i="13" s="1"/>
  <c r="R48" i="13"/>
  <c r="H11" i="13"/>
  <c r="H19" i="13"/>
  <c r="R42" i="13"/>
  <c r="R46" i="13"/>
  <c r="Q44" i="13"/>
  <c r="E25" i="13"/>
  <c r="E33" i="13"/>
  <c r="S46" i="13"/>
  <c r="E15" i="12"/>
  <c r="O41" i="12" a="1"/>
  <c r="O41" i="12" s="1"/>
  <c r="S43" i="12"/>
  <c r="Q44" i="12"/>
  <c r="O45" i="12" a="1"/>
  <c r="O45" i="12" s="1"/>
  <c r="S47" i="12"/>
  <c r="Q48" i="12"/>
  <c r="Q45" i="12"/>
  <c r="E34" i="12"/>
  <c r="T43" i="12"/>
  <c r="R44" i="12"/>
  <c r="T47" i="12"/>
  <c r="R48" i="12"/>
  <c r="H13" i="12"/>
  <c r="E24" i="12"/>
  <c r="E32" i="12"/>
  <c r="H37" i="12"/>
  <c r="R41" i="12"/>
  <c r="T44" i="12"/>
  <c r="R45" i="12"/>
  <c r="S41" i="12"/>
  <c r="Q42" i="12"/>
  <c r="O47" i="12" a="1"/>
  <c r="O47" i="12" s="1"/>
  <c r="H11" i="12"/>
  <c r="H19" i="12"/>
  <c r="E22" i="12"/>
  <c r="H27" i="12"/>
  <c r="H35" i="12"/>
  <c r="R42" i="12"/>
  <c r="R46" i="12"/>
  <c r="E17" i="12"/>
  <c r="E25" i="12"/>
  <c r="E33" i="12"/>
  <c r="S46" i="12"/>
  <c r="H33" i="12"/>
  <c r="H36" i="11"/>
  <c r="Q48" i="11"/>
  <c r="H15" i="11"/>
  <c r="H23" i="11"/>
  <c r="E26" i="11"/>
  <c r="E34" i="11"/>
  <c r="T43" i="11"/>
  <c r="R44" i="11"/>
  <c r="T47" i="11"/>
  <c r="R48" i="11"/>
  <c r="E13" i="11"/>
  <c r="H18" i="11"/>
  <c r="E21" i="11"/>
  <c r="H34" i="11"/>
  <c r="E37" i="11"/>
  <c r="Q41" i="11"/>
  <c r="S44" i="11"/>
  <c r="Q45" i="11"/>
  <c r="Q44" i="11"/>
  <c r="H29" i="11"/>
  <c r="E32" i="11"/>
  <c r="H37" i="11"/>
  <c r="R41" i="11"/>
  <c r="R45" i="11"/>
  <c r="T48" i="11"/>
  <c r="H16" i="11"/>
  <c r="S41" i="11"/>
  <c r="Q42" i="11"/>
  <c r="O43" i="11" a="1"/>
  <c r="O43" i="11" s="1"/>
  <c r="Q46" i="11"/>
  <c r="O47" i="11" a="1"/>
  <c r="O47" i="11" s="1"/>
  <c r="X47" i="11" s="1"/>
  <c r="H11" i="11"/>
  <c r="H19" i="11"/>
  <c r="R42" i="11"/>
  <c r="R46" i="11"/>
  <c r="H13" i="10"/>
  <c r="E17" i="10"/>
  <c r="O41" i="10" a="1"/>
  <c r="O41" i="10" s="1"/>
  <c r="S43" i="10"/>
  <c r="Q44" i="10"/>
  <c r="O45" i="10" a="1"/>
  <c r="O45" i="10" s="1"/>
  <c r="S47" i="10"/>
  <c r="Q48" i="10"/>
  <c r="Q41" i="10"/>
  <c r="Q45" i="10"/>
  <c r="E21" i="10"/>
  <c r="E33" i="10"/>
  <c r="T43" i="10"/>
  <c r="R44" i="10"/>
  <c r="H37" i="10"/>
  <c r="R41" i="10"/>
  <c r="T44" i="10"/>
  <c r="R45" i="10"/>
  <c r="T48" i="10"/>
  <c r="Q42" i="10"/>
  <c r="O47" i="10" a="1"/>
  <c r="O47" i="10" s="1"/>
  <c r="H23" i="10"/>
  <c r="R42" i="10"/>
  <c r="R46" i="10"/>
  <c r="H27" i="10"/>
  <c r="S46" i="10"/>
  <c r="E24" i="10"/>
  <c r="H13" i="9"/>
  <c r="E17" i="9"/>
  <c r="O41" i="9" a="1"/>
  <c r="O41" i="9" s="1"/>
  <c r="S43" i="9"/>
  <c r="O45" i="9" a="1"/>
  <c r="O45" i="9" s="1"/>
  <c r="X45" i="9" s="1"/>
  <c r="S47" i="9"/>
  <c r="Q48" i="9"/>
  <c r="E33" i="9"/>
  <c r="R44" i="9"/>
  <c r="R48" i="9"/>
  <c r="H37" i="9"/>
  <c r="R41" i="9"/>
  <c r="R45" i="9"/>
  <c r="T48" i="9"/>
  <c r="S41" i="9"/>
  <c r="Q42" i="9"/>
  <c r="O43" i="9" a="1"/>
  <c r="O43" i="9" s="1"/>
  <c r="S45" i="9"/>
  <c r="Q46" i="9"/>
  <c r="O47" i="9" a="1"/>
  <c r="O47" i="9" s="1"/>
  <c r="R42" i="9"/>
  <c r="R46" i="9"/>
  <c r="H27" i="9"/>
  <c r="E24" i="9"/>
  <c r="Q44" i="8"/>
  <c r="O45" i="8" a="1"/>
  <c r="O45" i="8" s="1"/>
  <c r="Q48" i="8"/>
  <c r="E11" i="8"/>
  <c r="E21" i="8"/>
  <c r="H29" i="8"/>
  <c r="E33" i="8"/>
  <c r="T43" i="8"/>
  <c r="R44" i="8"/>
  <c r="T47" i="8"/>
  <c r="R48" i="8"/>
  <c r="H36" i="8"/>
  <c r="Q41" i="8"/>
  <c r="S44" i="8"/>
  <c r="H15" i="8"/>
  <c r="E19" i="8"/>
  <c r="H37" i="8"/>
  <c r="R41" i="8"/>
  <c r="R45" i="8"/>
  <c r="T48" i="8"/>
  <c r="E37" i="8"/>
  <c r="E23" i="8"/>
  <c r="H30" i="8"/>
  <c r="Q42" i="8"/>
  <c r="O43" i="8" a="1"/>
  <c r="O43" i="8" s="1"/>
  <c r="Q46" i="8"/>
  <c r="O47" i="8" a="1"/>
  <c r="O47" i="8" s="1"/>
  <c r="H12" i="8"/>
  <c r="H23" i="8"/>
  <c r="H34" i="8"/>
  <c r="R42" i="8"/>
  <c r="R46" i="8"/>
  <c r="H16" i="8"/>
  <c r="H27" i="8"/>
  <c r="E13" i="8"/>
  <c r="E24" i="8"/>
  <c r="Q44" i="7"/>
  <c r="S47" i="7"/>
  <c r="Q48" i="7"/>
  <c r="H23" i="7"/>
  <c r="E26" i="7"/>
  <c r="E34" i="7"/>
  <c r="T43" i="7"/>
  <c r="R44" i="7"/>
  <c r="R48" i="7"/>
  <c r="E13" i="7"/>
  <c r="H18" i="7"/>
  <c r="E21" i="7"/>
  <c r="H34" i="7"/>
  <c r="E37" i="7"/>
  <c r="Q41" i="7"/>
  <c r="O42" i="7" a="1"/>
  <c r="O42" i="7" s="1"/>
  <c r="S44" i="7"/>
  <c r="Q45" i="7"/>
  <c r="O46" i="7" a="1"/>
  <c r="O46" i="7" s="1"/>
  <c r="S48" i="7"/>
  <c r="H29" i="7"/>
  <c r="H37" i="7"/>
  <c r="R41" i="7"/>
  <c r="T44" i="7"/>
  <c r="R45" i="7"/>
  <c r="H16" i="7"/>
  <c r="O43" i="7" a="1"/>
  <c r="O43" i="7" s="1"/>
  <c r="O47" i="7" a="1"/>
  <c r="O47" i="7" s="1"/>
  <c r="H11" i="7"/>
  <c r="H19" i="7"/>
  <c r="E22" i="7"/>
  <c r="H27" i="7"/>
  <c r="H35" i="7"/>
  <c r="R42" i="7"/>
  <c r="R46" i="7"/>
  <c r="E11" i="7"/>
  <c r="E25" i="7"/>
  <c r="E33" i="7"/>
  <c r="S42" i="7"/>
  <c r="S46" i="7"/>
  <c r="E12" i="7"/>
  <c r="H33" i="7"/>
  <c r="E11" i="6"/>
  <c r="H29" i="6"/>
  <c r="R44" i="6"/>
  <c r="T48" i="6"/>
  <c r="H19" i="6"/>
  <c r="E23" i="6"/>
  <c r="H30" i="6"/>
  <c r="E34" i="6"/>
  <c r="S41" i="6"/>
  <c r="Q42" i="6"/>
  <c r="O43" i="6" a="1"/>
  <c r="O43" i="6" s="1"/>
  <c r="X43" i="6" s="1"/>
  <c r="S45" i="6"/>
  <c r="Q46" i="6"/>
  <c r="O47" i="6" a="1"/>
  <c r="O47" i="6" s="1"/>
  <c r="Q44" i="6"/>
  <c r="T43" i="6"/>
  <c r="T47" i="6"/>
  <c r="R41" i="6"/>
  <c r="T44" i="6"/>
  <c r="H34" i="6"/>
  <c r="T41" i="6"/>
  <c r="R42" i="6"/>
  <c r="T45" i="6"/>
  <c r="R46" i="6"/>
  <c r="H36" i="6"/>
  <c r="S44" i="6"/>
  <c r="Q45" i="6"/>
  <c r="H16" i="6"/>
  <c r="H27" i="6"/>
  <c r="S42" i="6"/>
  <c r="S46" i="6"/>
  <c r="Q48" i="6"/>
  <c r="R48" i="6"/>
  <c r="E37" i="6"/>
  <c r="E13" i="6"/>
  <c r="E24" i="6"/>
  <c r="Q44" i="5"/>
  <c r="O45" i="5" a="1"/>
  <c r="O45" i="5" s="1"/>
  <c r="Q48" i="5"/>
  <c r="H15" i="5"/>
  <c r="H23" i="5"/>
  <c r="E26" i="5"/>
  <c r="H31" i="5"/>
  <c r="E34" i="5"/>
  <c r="T43" i="5"/>
  <c r="R44" i="5"/>
  <c r="T47" i="5"/>
  <c r="R48" i="5"/>
  <c r="H36" i="5"/>
  <c r="S48" i="5"/>
  <c r="H13" i="5"/>
  <c r="E24" i="5"/>
  <c r="H29" i="5"/>
  <c r="E32" i="5"/>
  <c r="H37" i="5"/>
  <c r="R41" i="5"/>
  <c r="T44" i="5"/>
  <c r="R45" i="5"/>
  <c r="E21" i="5"/>
  <c r="S44" i="5"/>
  <c r="E11" i="5"/>
  <c r="H16" i="5"/>
  <c r="S41" i="5"/>
  <c r="O43" i="5" a="1"/>
  <c r="O43" i="5" s="1"/>
  <c r="Q46" i="5"/>
  <c r="O47" i="5" a="1"/>
  <c r="O47" i="5" s="1"/>
  <c r="H11" i="5"/>
  <c r="H19" i="5"/>
  <c r="E22" i="5"/>
  <c r="H27" i="5"/>
  <c r="H35" i="5"/>
  <c r="R42" i="5"/>
  <c r="R46" i="5"/>
  <c r="E17" i="5"/>
  <c r="E25" i="5"/>
  <c r="E33" i="5"/>
  <c r="E12" i="5"/>
  <c r="H33" i="5"/>
  <c r="X47" i="17" l="1"/>
  <c r="X43" i="7"/>
  <c r="X48" i="11"/>
  <c r="X43" i="20"/>
  <c r="X43" i="25"/>
  <c r="X47" i="26"/>
  <c r="X42" i="27"/>
  <c r="X43" i="5"/>
  <c r="X45" i="15"/>
  <c r="X47" i="21"/>
  <c r="X47" i="22"/>
  <c r="X42" i="20"/>
  <c r="X46" i="18"/>
  <c r="X45" i="10"/>
  <c r="X45" i="12"/>
  <c r="X45" i="8"/>
  <c r="X42" i="11"/>
  <c r="X45" i="22"/>
  <c r="X47" i="25"/>
  <c r="X41" i="16"/>
  <c r="X46" i="25"/>
  <c r="X47" i="16"/>
  <c r="X41" i="30"/>
  <c r="X44" i="30"/>
  <c r="X42" i="30"/>
  <c r="X45" i="30"/>
  <c r="X46" i="30"/>
  <c r="X43" i="30"/>
  <c r="X42" i="29"/>
  <c r="X41" i="29"/>
  <c r="X44" i="29"/>
  <c r="X47" i="29"/>
  <c r="X46" i="29"/>
  <c r="X45" i="29"/>
  <c r="X47" i="28"/>
  <c r="X41" i="28"/>
  <c r="X45" i="28"/>
  <c r="X42" i="28"/>
  <c r="X46" i="28"/>
  <c r="X44" i="28"/>
  <c r="X43" i="27"/>
  <c r="X41" i="27"/>
  <c r="X46" i="27"/>
  <c r="X47" i="27"/>
  <c r="X45" i="27"/>
  <c r="X44" i="27"/>
  <c r="X42" i="26"/>
  <c r="X41" i="26"/>
  <c r="X46" i="26"/>
  <c r="X45" i="26"/>
  <c r="X44" i="26"/>
  <c r="X41" i="25"/>
  <c r="X42" i="25"/>
  <c r="X44" i="25"/>
  <c r="X42" i="22"/>
  <c r="X41" i="22"/>
  <c r="X46" i="22"/>
  <c r="X44" i="22"/>
  <c r="X43" i="22"/>
  <c r="X41" i="21"/>
  <c r="X44" i="21"/>
  <c r="X42" i="21"/>
  <c r="X45" i="21"/>
  <c r="X46" i="21"/>
  <c r="X43" i="21"/>
  <c r="X47" i="20"/>
  <c r="X46" i="20"/>
  <c r="X44" i="20"/>
  <c r="X41" i="20"/>
  <c r="X45" i="20"/>
  <c r="X46" i="19"/>
  <c r="X47" i="19"/>
  <c r="X42" i="19"/>
  <c r="X41" i="19"/>
  <c r="X45" i="19"/>
  <c r="X44" i="19"/>
  <c r="X44" i="18"/>
  <c r="X42" i="18"/>
  <c r="X43" i="18"/>
  <c r="X47" i="18"/>
  <c r="X41" i="18"/>
  <c r="X45" i="18"/>
  <c r="X46" i="17"/>
  <c r="X43" i="17"/>
  <c r="X42" i="17"/>
  <c r="X41" i="17"/>
  <c r="X45" i="17"/>
  <c r="X44" i="17"/>
  <c r="X43" i="16"/>
  <c r="X46" i="16"/>
  <c r="X42" i="16"/>
  <c r="X45" i="16"/>
  <c r="X44" i="16"/>
  <c r="X43" i="15"/>
  <c r="X41" i="15"/>
  <c r="X42" i="15"/>
  <c r="X46" i="15"/>
  <c r="X47" i="15"/>
  <c r="X44" i="15"/>
  <c r="X41" i="14"/>
  <c r="X48" i="14"/>
  <c r="X47" i="14"/>
  <c r="X46" i="14"/>
  <c r="X42" i="14"/>
  <c r="X45" i="14"/>
  <c r="X44" i="14"/>
  <c r="X43" i="13"/>
  <c r="X42" i="13"/>
  <c r="X46" i="13"/>
  <c r="X48" i="13"/>
  <c r="X41" i="13"/>
  <c r="X45" i="13"/>
  <c r="X44" i="13"/>
  <c r="X41" i="12"/>
  <c r="X48" i="12"/>
  <c r="X47" i="12"/>
  <c r="X46" i="12"/>
  <c r="X44" i="12"/>
  <c r="X43" i="12"/>
  <c r="X42" i="12"/>
  <c r="X41" i="11"/>
  <c r="X43" i="11"/>
  <c r="X46" i="11"/>
  <c r="X45" i="11"/>
  <c r="X44" i="11"/>
  <c r="X41" i="10"/>
  <c r="X46" i="10"/>
  <c r="X42" i="10"/>
  <c r="X44" i="10"/>
  <c r="X47" i="10"/>
  <c r="X43" i="10"/>
  <c r="X47" i="9"/>
  <c r="X41" i="9"/>
  <c r="X43" i="9"/>
  <c r="X46" i="9"/>
  <c r="X44" i="9"/>
  <c r="X42" i="9"/>
  <c r="X43" i="8"/>
  <c r="X47" i="8"/>
  <c r="X41" i="8"/>
  <c r="X46" i="8"/>
  <c r="X42" i="8"/>
  <c r="X44" i="8"/>
  <c r="X47" i="7"/>
  <c r="X46" i="7"/>
  <c r="X42" i="7"/>
  <c r="X48" i="7"/>
  <c r="X41" i="7"/>
  <c r="X45" i="7"/>
  <c r="X44" i="7"/>
  <c r="X41" i="6"/>
  <c r="X46" i="6"/>
  <c r="X47" i="6"/>
  <c r="X45" i="6"/>
  <c r="X44" i="6"/>
  <c r="X42" i="6"/>
  <c r="X45" i="5"/>
  <c r="X48" i="5"/>
  <c r="X41" i="5"/>
  <c r="X47" i="5"/>
  <c r="X46" i="5"/>
  <c r="X44" i="5"/>
  <c r="X4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<sst xmlns="http://schemas.openxmlformats.org/spreadsheetml/2006/main" count="3360" uniqueCount="371">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</sst>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4690212C-2C69-44FE-92EB-2301DF178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9130" y="19259"/>
          <a:ext cx="849630" cy="8682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687D0A-5FD7-49C0-B2C4-C9A6AA683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9890" y="9124"/>
          <a:ext cx="904875" cy="812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CFA9D23-15FB-41FD-A02D-722DD039B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04BAA7F-651C-40D3-AFF6-424E9A30569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F7D851F-6DE2-4A52-9398-AFB19B0C260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2F4A747-BEDB-43C4-8936-330B7F508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F87B0D8-AB98-4E96-84B0-DA21BD30D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2BA72AF-AD5F-40CA-931B-A2BE35505E0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A04617E-D741-44BB-B5F0-0AB7C4E731F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DB4BE28-60A1-42E7-847E-B54B432A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110FC26-B694-4AC5-A894-888F3113F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0F393A4-1848-4A5E-AB9F-0452682002FD}"/>
            </a:ext>
          </a:extLst>
        </xdr:cNvPr>
        <xdr:cNvSpPr/>
      </xdr:nvSpPr>
      <xdr:spPr bwMode="auto">
        <a:xfrm>
          <a:off x="3535680" y="0"/>
          <a:ext cx="2105660" cy="93218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02689D3-945B-44CB-AA96-3192D7AE4910}"/>
            </a:ext>
          </a:extLst>
        </xdr:cNvPr>
        <xdr:cNvSpPr/>
      </xdr:nvSpPr>
      <xdr:spPr bwMode="auto">
        <a:xfrm>
          <a:off x="3680460" y="33020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1E4D60E-3036-470A-A7BF-9642A2317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21665" cy="61404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3A221FA-819D-4D76-B088-98568E6B7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179A041-9130-42FD-8BD4-1815FBE747E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B79CF41-3914-4BCB-ADD8-96C41879BD0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019B39A-3C96-4E71-8F1F-C2FB35C2C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CA44F40-4BEC-4D8E-96E8-1CEBEA248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249C4E-5DDE-4A16-8E85-FAB0602EE70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798F9F3-A5BA-4043-AE8A-143D3E4FC04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ABCA72E-9E3E-4C8E-AEEC-4B2F79E86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C49621-E253-4A48-B0F1-DA4729710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AA4F2A-2DB5-4AA5-853D-910588A40C8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4BB077C-0A9E-4126-8C71-B341AAE31F1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8C1F439-6570-4941-929D-7653A4BBE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7F61CCC-9832-4337-9C4B-E362F36B7D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2E0D91F-EB57-4B54-A66F-21E7B154C27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CCA2B57-EA64-4717-B03F-801D6A4F8E1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BC1C761-F44A-4056-A6B3-1AD736ABD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AD6461C-F3AE-4BF6-8596-70F18C9E8E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706539A-852D-40FA-BFD3-52AE833A4CB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0973858-D541-4F77-9130-8E12A6C825B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20924A9-09BB-432C-81FF-1FA435365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B24001F-96CA-4C55-B107-42D65E8CED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CE01901-162D-4205-A7D2-0EDBB9A78DC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BA9763D-CCC2-4145-9364-2E9995DB40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7D15D7-5B8B-49C0-B7B4-C6FCC98B0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5E1007C-A22A-4CA2-B314-7AF8225E7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F73C639-767D-41CC-BC30-71D0B7F2231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F7FAE0F-BCD0-4D50-AD5C-81273A3BA7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2D18C97-265D-4A03-BA39-0576F5BC6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3753D9D-492B-45FD-BAA9-2941482EA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58588B6-7E29-49DF-9803-84F17515CA9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9E750D5-8382-483F-9C08-C00B43386E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51BDBF2-3219-450A-99D5-25BB48887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0116E17-E5A9-4BC6-A2EE-9C674F14F2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DEC2A9-CDA5-4826-B73D-F2EC2E9D44B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753BB33-12E3-4D55-AEAA-B0A6E9EFD09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3827F26-8DA4-4059-BD73-51F4C4AC4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389B298-7156-4DAA-88BE-FB52A8192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3D11560-0857-40C5-B8EA-9006A293EDA3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BD2C919-BA97-4510-BB5C-1BFC204A3D8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009E2BA-7C43-4490-A017-06A8220BA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29FF0B2-4872-4314-975C-7D4732A2E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0293140-E60C-4B15-AD18-3365262798D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FA07297-BFB8-4ADD-B5E7-2C3DDBB6EE6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E4C82BE-EC55-40DC-8109-EDC32868B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6319C18-6196-478F-A7F6-BB46D3D8F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A0A220D-0547-4B01-B2DD-48EA472C4D3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280E857-E5A4-4B24-80CC-237F4772D67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EB9CE37-31A5-42F4-9092-C5F07A64B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E496287-34B4-4200-A808-0F201D5D5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F06FF3C-0E8C-41D8-95D1-FDCB683CC4B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25C3B0E-3C72-49A1-B5EE-6FE3B789EE2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2A7E882-AA93-4A28-A787-794DB50E2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E4EFE56-F42F-445F-919E-7DE93CF437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AC05F7B-0408-490C-9A6A-7C7C1847CB4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FEC70D-90E4-44C5-AA32-42533F3A56F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1851B0-EA8E-4638-9901-0FCA27C62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9123A77-D18B-44CD-A6C3-DC3C219E0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FF5237F-D68B-4C2F-A379-C2CB7EFB1B8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BD9A2D2-22C1-4EB8-8990-F1B2E185833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AC3B943-3E63-4DC7-BC15-EFE7638CE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3A9BF49-063B-4B7E-8D51-80C6A9BA27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16037C8-6DD8-4D90-B6BC-4D8F68E0A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58CE1CF-CE24-476B-BD8F-6C338F9559C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FFF493B-6A8E-4EE3-B1DE-25FEB6469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2EB7629-CD80-41E7-ADB7-DC79FD58BF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21B7EBF-EC1D-4029-95D3-3231E0F7572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4AF3FAF-3619-4737-B33F-54BEB8C5555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B8E34F8-8EA0-4B47-8A2B-7A05FF95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97A012-24F2-4AB0-AA0D-DAF5490418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7B73256-834F-4FBF-BDA9-525878B26F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F7BEBB8-E397-4006-900B-313BF8BABD8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9441E8B-12E5-431B-82DC-6C07B44FC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96C1442-AFFF-4359-A277-44EA8FF56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AF8A83E-F651-48C6-871C-2A5A6680882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C65A9AB-2748-4A4A-AA5E-2FDFB6442CA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D324B3-F588-49E9-9213-9862A7CD1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12DE01-8545-4F9C-B2A0-B38EC127A1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53A419-AE3C-4DBC-9ACD-0B5009784F0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78B48AB-848F-4D51-9FC4-332763FB4A6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983170C-E33B-495B-984C-7769632EB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65742B-4FFF-4883-8B18-0633F2020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CE1F734-E6E0-41BB-9E29-0F81400D80D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7C2A94E-8C20-4D5D-A445-4E03412537C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675652-502A-48AB-9DF3-4C9F42C59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79B9104-FF81-429F-A98D-789CD481E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8F6BB2-F051-439F-A5F3-8A7EDA508FC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E684097-7632-4DB7-A3CC-2F81FABD1FD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0D73455-BBF9-44BC-ACCE-022E70F9E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3A70CF2-10EB-40EC-AF1E-171C85D55E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9148D1D-96E8-42CB-907D-4C2BDFD2BA7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59B5760-8B5F-4C26-AF03-80B541FEB56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61713FB-2CB0-4E97-87F9-9F6F13496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5E24555-1328-422B-A45A-A0725D4F7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D85C06-AF28-462F-ACD9-6B33BEEF104F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F41DA11-ADA3-4869-9A52-560AC47B0C20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306710-3644-4B65-8BAA-6D03D32FE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5353" y="275789"/>
          <a:ext cx="611806" cy="6094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F92103A-6593-417C-AB00-3CC2F7429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50528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19DF4B5-46F1-40D1-BAF6-AAF6AB5DC96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6ECEE86-87AC-498D-A9A5-BA0EA4634B7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253365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ECF5377-65C0-465F-B6AF-2B5703D30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6745" cy="630555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3912B3BD-ABCF-4197-BAFC-299A0B554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8289" y="0"/>
          <a:ext cx="968712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DEBD94F-E4AA-4D8C-A2E3-F1D0ACB12E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88B7E8-756B-4DF5-AEA5-B2C5C028B3D5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BC7819E-9379-4F15-A62F-6FC2364E1776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256903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5EB52A8-31FB-4229-B8EF-4BF6FBC68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5929" cy="6125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012C9-64C5-48AB-9877-8CDD9ED4A6C4}">
  <sheetPr codeName="Blad1"/>
  <dimension ref="A3:AK69"/>
  <sheetViews>
    <sheetView tabSelected="1" topLeftCell="B3" zoomScaleNormal="100" workbookViewId="0">
      <selection activeCell="D27" sqref="D2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A514-DC75-47CC-9F7A-6C923354AD6D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CCBD4-FB4E-4F51-A980-B17A816E7B41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9930A-9CF5-4DA4-9288-823E624AD39D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69803-660E-4A0C-8BE9-894067373390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0</v>
      </c>
      <c r="K11" s="110" t="s">
        <v>294</v>
      </c>
      <c r="L11" s="111">
        <v>3</v>
      </c>
      <c r="M11" s="112" t="str">
        <f>Scheids!$D$6</f>
        <v>Ruud van Oosten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0</v>
      </c>
      <c r="K12" s="124" t="s">
        <v>294</v>
      </c>
      <c r="L12" s="125">
        <v>1</v>
      </c>
      <c r="M12" s="126" t="str">
        <f>Scheids!$D$6</f>
        <v>Ruud van Oosten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0</v>
      </c>
      <c r="K13" s="124" t="s">
        <v>294</v>
      </c>
      <c r="L13" s="125">
        <v>1</v>
      </c>
      <c r="M13" s="126" t="str">
        <f>Scheids!$D$6</f>
        <v>Ruud van Oosten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6</v>
      </c>
      <c r="K14" s="124" t="s">
        <v>294</v>
      </c>
      <c r="L14" s="125">
        <v>0</v>
      </c>
      <c r="M14" s="126" t="str">
        <f>Scheids!$F$6</f>
        <v>Guus Heemskerk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4</v>
      </c>
      <c r="K15" s="124" t="s">
        <v>294</v>
      </c>
      <c r="L15" s="125">
        <v>0</v>
      </c>
      <c r="M15" s="126" t="str">
        <f>Scheids!$F$6</f>
        <v>Guus Heemskerk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2</v>
      </c>
      <c r="K16" s="124" t="s">
        <v>294</v>
      </c>
      <c r="L16" s="125">
        <v>0</v>
      </c>
      <c r="M16" s="126" t="str">
        <f>Scheids!$F$6</f>
        <v>Guus Heemskerk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0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3</v>
      </c>
      <c r="K18" s="124" t="s">
        <v>294</v>
      </c>
      <c r="L18" s="125">
        <v>0</v>
      </c>
      <c r="M18" s="126" t="str">
        <f>Scheids!$D$6</f>
        <v>Ruud van Oosten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>
        <v>0</v>
      </c>
      <c r="K19" s="124" t="s">
        <v>294</v>
      </c>
      <c r="L19" s="125">
        <v>2</v>
      </c>
      <c r="M19" s="126" t="str">
        <f>Scheids!$D$6</f>
        <v>Ruud van Oosten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>
        <v>0</v>
      </c>
      <c r="K20" s="124" t="s">
        <v>294</v>
      </c>
      <c r="L20" s="125">
        <v>0</v>
      </c>
      <c r="M20" s="126" t="str">
        <f>Scheids!$F$6</f>
        <v>Guus Heemskerk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>
        <v>0</v>
      </c>
      <c r="K21" s="124" t="s">
        <v>294</v>
      </c>
      <c r="L21" s="125">
        <v>3</v>
      </c>
      <c r="M21" s="126" t="str">
        <f>Scheids!$F$6</f>
        <v>Guus Heemskerk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>
        <v>0</v>
      </c>
      <c r="K22" s="124" t="s">
        <v>294</v>
      </c>
      <c r="L22" s="125">
        <v>0</v>
      </c>
      <c r="M22" s="126" t="str">
        <f>Scheids!$F$6</f>
        <v>Guus Heemskerk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>
        <v>0</v>
      </c>
      <c r="K23" s="124" t="s">
        <v>294</v>
      </c>
      <c r="L23" s="125">
        <v>3</v>
      </c>
      <c r="M23" s="126" t="str">
        <f>Scheids!$D$6</f>
        <v>Ruud van Oosten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>
        <v>1</v>
      </c>
      <c r="K24" s="124" t="s">
        <v>294</v>
      </c>
      <c r="L24" s="125">
        <v>2</v>
      </c>
      <c r="M24" s="126" t="str">
        <f>Scheids!$D$6</f>
        <v>Ruud van Oosten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>
        <v>0</v>
      </c>
      <c r="K25" s="124" t="s">
        <v>294</v>
      </c>
      <c r="L25" s="125">
        <v>3</v>
      </c>
      <c r="M25" s="126" t="str">
        <f>Scheids!$D$6</f>
        <v>Ruud van Oosten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/>
      <c r="K26" s="124" t="s">
        <v>294</v>
      </c>
      <c r="L26" s="125"/>
      <c r="M26" s="126" t="str">
        <f>Scheids!$F$6</f>
        <v>Guus Heemskerk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/>
      <c r="K27" s="124" t="s">
        <v>294</v>
      </c>
      <c r="L27" s="125"/>
      <c r="M27" s="126" t="str">
        <f>Scheids!$F$6</f>
        <v>Guus Heemskerk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/>
      <c r="K28" s="124" t="s">
        <v>294</v>
      </c>
      <c r="L28" s="125"/>
      <c r="M28" s="126" t="str">
        <f>Scheids!$F$6</f>
        <v>Guus Heemskerk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/>
      <c r="K29" s="124" t="s">
        <v>294</v>
      </c>
      <c r="L29" s="125"/>
      <c r="M29" s="126" t="str">
        <f>Scheids!$D$6</f>
        <v>Ruud van Oosten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/>
      <c r="K30" s="124" t="s">
        <v>294</v>
      </c>
      <c r="L30" s="125"/>
      <c r="M30" s="126" t="str">
        <f>Scheids!$D$6</f>
        <v>Ruud van Oosten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/>
      <c r="K31" s="124" t="s">
        <v>294</v>
      </c>
      <c r="L31" s="125"/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/>
      <c r="K32" s="124" t="s">
        <v>294</v>
      </c>
      <c r="L32" s="125"/>
      <c r="M32" s="126" t="str">
        <f>Scheids!$F$6</f>
        <v>Guus Heemskerk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/>
      <c r="K33" s="124" t="s">
        <v>294</v>
      </c>
      <c r="L33" s="125"/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/>
      <c r="K34" s="124" t="s">
        <v>294</v>
      </c>
      <c r="L34" s="125"/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/>
      <c r="K35" s="124" t="s">
        <v>294</v>
      </c>
      <c r="L35" s="125"/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/>
      <c r="K36" s="124" t="s">
        <v>294</v>
      </c>
      <c r="L36" s="125"/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/>
      <c r="K37" s="124" t="s">
        <v>294</v>
      </c>
      <c r="L37" s="125"/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/>
      <c r="K38" s="139" t="s">
        <v>294</v>
      </c>
      <c r="L38" s="140"/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4</v>
      </c>
      <c r="R41" s="152">
        <f>COUNTIFS(E41:N41,3)</f>
        <v>0</v>
      </c>
      <c r="S41" s="152">
        <f>COUNTIFS(E41:N41,0)</f>
        <v>4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12</v>
      </c>
      <c r="W41" s="152">
        <f>Q11+R18+Q21+Q23+R29+Q34+R36</f>
        <v>8</v>
      </c>
      <c r="X41" s="129">
        <f t="shared" ref="X41:X48" si="1">IF(Y41="",IF(O41&lt;&gt;"",_xlfn.RANK.EQ(O41,$O$41:$O$48),""),Y41)</f>
        <v>8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9</v>
      </c>
      <c r="V42" s="152">
        <f>J11+L15+J19+L25+L28+L33+J37</f>
        <v>3</v>
      </c>
      <c r="W42" s="152">
        <f>R11+Q15+R19+Q25+Q28+Q33+R37</f>
        <v>8</v>
      </c>
      <c r="X42" s="129">
        <f t="shared" si="1"/>
        <v>2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4</v>
      </c>
      <c r="R43" s="152">
        <f t="shared" si="2"/>
        <v>1</v>
      </c>
      <c r="S43" s="152">
        <f t="shared" si="3"/>
        <v>2</v>
      </c>
      <c r="T43" s="152">
        <f t="shared" si="4"/>
        <v>1</v>
      </c>
      <c r="U43" s="152">
        <f>J12+L15+J20+L23+J27+J32+L35</f>
        <v>3</v>
      </c>
      <c r="V43" s="152">
        <f>L12+J15+L20+J23+L27+L32+J35</f>
        <v>5</v>
      </c>
      <c r="W43" s="152">
        <f>Q12+R15+Q20+R23+Q27+Q32+R35</f>
        <v>8</v>
      </c>
      <c r="X43" s="129">
        <f t="shared" si="1"/>
        <v>4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4</v>
      </c>
      <c r="R44" s="152">
        <f t="shared" si="2"/>
        <v>3</v>
      </c>
      <c r="S44" s="152">
        <f t="shared" si="3"/>
        <v>1</v>
      </c>
      <c r="T44" s="152">
        <f t="shared" si="4"/>
        <v>0</v>
      </c>
      <c r="U44" s="152">
        <f>L12+J16+J19+L24+J29+L31+L38</f>
        <v>5</v>
      </c>
      <c r="V44" s="152">
        <f>J12+L16+L19+J24+L29+J31+J38</f>
        <v>3</v>
      </c>
      <c r="W44" s="152">
        <f>R12+Q16+Q19+R24+Q29+R31+R38</f>
        <v>8</v>
      </c>
      <c r="X44" s="129">
        <f t="shared" si="1"/>
        <v>2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3</v>
      </c>
      <c r="R45" s="152">
        <f t="shared" si="2"/>
        <v>0</v>
      </c>
      <c r="S45" s="152">
        <f t="shared" si="3"/>
        <v>2</v>
      </c>
      <c r="T45" s="152">
        <f t="shared" si="4"/>
        <v>1</v>
      </c>
      <c r="U45" s="152">
        <f>J13+L16+L20+J26+L30+L34+J37</f>
        <v>0</v>
      </c>
      <c r="V45" s="152">
        <f>L13+J16+J20+L26+J30+J34+L37</f>
        <v>3</v>
      </c>
      <c r="W45" s="152">
        <f>Q13+R16+R20+Q26+R30+R34+Q37</f>
        <v>6</v>
      </c>
      <c r="X45" s="129">
        <f t="shared" si="1"/>
        <v>7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0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4</v>
      </c>
      <c r="R46" s="152">
        <f t="shared" si="2"/>
        <v>1</v>
      </c>
      <c r="S46" s="152">
        <f t="shared" si="3"/>
        <v>2</v>
      </c>
      <c r="T46" s="152">
        <f t="shared" si="4"/>
        <v>1</v>
      </c>
      <c r="U46" s="152">
        <f>L13+J17+J22+J24+L27+L33+J36</f>
        <v>2</v>
      </c>
      <c r="V46" s="152">
        <f>J13+L17+L22+L24+J27+J33+L36</f>
        <v>4</v>
      </c>
      <c r="W46" s="152">
        <f>R13+Q17+Q22+Q24+R27+R33+Q36</f>
        <v>8</v>
      </c>
      <c r="X46" s="129">
        <f t="shared" si="1"/>
        <v>4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12</v>
      </c>
      <c r="Q47" s="152">
        <f t="shared" si="0"/>
        <v>4</v>
      </c>
      <c r="R47" s="152">
        <f t="shared" si="2"/>
        <v>4</v>
      </c>
      <c r="S47" s="152">
        <f t="shared" si="3"/>
        <v>0</v>
      </c>
      <c r="T47" s="152">
        <f t="shared" si="4"/>
        <v>0</v>
      </c>
      <c r="U47" s="152">
        <f>J14+L17+L21+L25+J30+L32+J38</f>
        <v>14</v>
      </c>
      <c r="V47" s="152">
        <f>L14+J17+J21+J25+L30+J32+L38</f>
        <v>0</v>
      </c>
      <c r="W47" s="152">
        <f>Q14+R17+R21+R25+Q30+R32+Q38</f>
        <v>8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1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4</v>
      </c>
      <c r="Q48" s="152">
        <f t="shared" si="0"/>
        <v>3</v>
      </c>
      <c r="R48" s="152">
        <f t="shared" si="2"/>
        <v>1</v>
      </c>
      <c r="S48" s="152">
        <f t="shared" si="3"/>
        <v>1</v>
      </c>
      <c r="T48" s="152">
        <f t="shared" si="4"/>
        <v>1</v>
      </c>
      <c r="U48" s="152">
        <f>L14+J18+L22+L26+L28+J31+J35</f>
        <v>3</v>
      </c>
      <c r="V48" s="152">
        <f>J14+L18+J22+J26+J28+L31+L35</f>
        <v>6</v>
      </c>
      <c r="W48" s="152">
        <f>+R14+Q18+R22+R26+R28+Q31+Q35</f>
        <v>6</v>
      </c>
      <c r="X48" s="129">
        <f t="shared" si="1"/>
        <v>4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32592-EFAC-4CE9-B72A-0C9972462F4E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/>
      <c r="K11" s="110" t="s">
        <v>294</v>
      </c>
      <c r="L11" s="111"/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0</v>
      </c>
      <c r="K12" s="124" t="s">
        <v>294</v>
      </c>
      <c r="L12" s="125">
        <v>0</v>
      </c>
      <c r="M12" s="126" t="str">
        <f>Scheids!$D$7</f>
        <v>Marcel de Letter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/>
      <c r="K13" s="124" t="s">
        <v>294</v>
      </c>
      <c r="L13" s="125"/>
      <c r="M13" s="126" t="str">
        <f>Scheids!$D$7</f>
        <v>Marcel de Letter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0</v>
      </c>
      <c r="K15" s="124" t="s">
        <v>294</v>
      </c>
      <c r="L15" s="125">
        <v>0</v>
      </c>
      <c r="M15" s="126" t="str">
        <f>Scheids!$F$7</f>
        <v>Gerard Zoet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0</v>
      </c>
      <c r="M16" s="126" t="str">
        <f>Scheids!$F$7</f>
        <v>Gerard Zoet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3</v>
      </c>
      <c r="K17" s="124" t="s">
        <v>294</v>
      </c>
      <c r="L17" s="125">
        <v>0</v>
      </c>
      <c r="M17" s="126" t="str">
        <f>Scheids!$F$7</f>
        <v>Gerard Zoet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>
        <v>1</v>
      </c>
      <c r="K19" s="124" t="s">
        <v>294</v>
      </c>
      <c r="L19" s="125">
        <v>0</v>
      </c>
      <c r="M19" s="126" t="str">
        <f>Scheids!$D$7</f>
        <v>Marcel de Letter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>
        <v>0</v>
      </c>
      <c r="K20" s="124" t="s">
        <v>294</v>
      </c>
      <c r="L20" s="125">
        <v>0</v>
      </c>
      <c r="M20" s="126" t="str">
        <f>Scheids!$D$7</f>
        <v>Marcel de Letter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>
        <v>2</v>
      </c>
      <c r="K21" s="124" t="s">
        <v>294</v>
      </c>
      <c r="L21" s="125">
        <v>0</v>
      </c>
      <c r="M21" s="126" t="str">
        <f>Scheids!$D$7</f>
        <v>Marcel de Letter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>
        <v>3</v>
      </c>
      <c r="K23" s="124" t="s">
        <v>294</v>
      </c>
      <c r="L23" s="125">
        <v>0</v>
      </c>
      <c r="M23" s="126" t="str">
        <f>Scheids!$F$7</f>
        <v>Gerard Zoet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>
        <v>0</v>
      </c>
      <c r="K24" s="124" t="s">
        <v>294</v>
      </c>
      <c r="L24" s="125">
        <v>0</v>
      </c>
      <c r="M24" s="126" t="str">
        <f>Scheids!$F$7</f>
        <v>Gerard Zoet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>
        <v>0</v>
      </c>
      <c r="K25" s="124" t="s">
        <v>294</v>
      </c>
      <c r="L25" s="125">
        <v>1</v>
      </c>
      <c r="M25" s="126" t="str">
        <f>Scheids!$F$7</f>
        <v>Gerard Zoet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/>
      <c r="K27" s="124" t="s">
        <v>294</v>
      </c>
      <c r="L27" s="125"/>
      <c r="M27" s="126" t="str">
        <f>Scheids!$D$7</f>
        <v>Marcel de Letter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/>
      <c r="K29" s="124" t="s">
        <v>294</v>
      </c>
      <c r="L29" s="125"/>
      <c r="M29" s="126" t="str">
        <f>Scheids!$D$7</f>
        <v>Marcel de Letter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/>
      <c r="K30" s="124" t="s">
        <v>294</v>
      </c>
      <c r="L30" s="125"/>
      <c r="M30" s="126" t="str">
        <f>Scheids!$D$7</f>
        <v>Marcel de Letter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/>
      <c r="K32" s="124" t="s">
        <v>294</v>
      </c>
      <c r="L32" s="125"/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/>
      <c r="K33" s="124" t="s">
        <v>294</v>
      </c>
      <c r="L33" s="125"/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/>
      <c r="K34" s="124" t="s">
        <v>294</v>
      </c>
      <c r="L34" s="125"/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/>
      <c r="K36" s="124" t="s">
        <v>294</v>
      </c>
      <c r="L36" s="125"/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/>
      <c r="K37" s="124" t="s">
        <v>294</v>
      </c>
      <c r="L37" s="125"/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/>
      <c r="K38" s="139" t="s">
        <v>294</v>
      </c>
      <c r="L38" s="140"/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2</v>
      </c>
      <c r="R41" s="152">
        <f>COUNTIFS(E41:N41,3)</f>
        <v>2</v>
      </c>
      <c r="S41" s="152">
        <f>COUNTIFS(E41:N41,0)</f>
        <v>0</v>
      </c>
      <c r="T41" s="152">
        <f>COUNTIFS(E41:N41,1)</f>
        <v>0</v>
      </c>
      <c r="U41" s="152">
        <f>J11+L18+J21+J23+L29+J34+L36</f>
        <v>5</v>
      </c>
      <c r="V41" s="152">
        <f>L11+J18+L21+L23+J29+L34+J36</f>
        <v>0</v>
      </c>
      <c r="W41" s="152">
        <f>Q11+R18+Q21+Q23+R29+Q34+R36</f>
        <v>3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</v>
      </c>
      <c r="Q42" s="152">
        <f t="shared" si="0"/>
        <v>3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0</v>
      </c>
      <c r="V42" s="152">
        <f>J11+L15+J19+L25+L28+L33+J37</f>
        <v>2</v>
      </c>
      <c r="W42" s="152">
        <f>R11+Q15+R19+Q25+Q28+Q33+R37</f>
        <v>5</v>
      </c>
      <c r="X42" s="129">
        <f t="shared" si="1"/>
        <v>6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4</v>
      </c>
      <c r="R43" s="152">
        <f t="shared" si="2"/>
        <v>0</v>
      </c>
      <c r="S43" s="152">
        <f t="shared" si="3"/>
        <v>1</v>
      </c>
      <c r="T43" s="152">
        <f t="shared" si="4"/>
        <v>3</v>
      </c>
      <c r="U43" s="152">
        <f>J12+L15+J20+L23+J27+J32+L35</f>
        <v>0</v>
      </c>
      <c r="V43" s="152">
        <f>L12+J15+L20+J23+L27+L32+J35</f>
        <v>3</v>
      </c>
      <c r="W43" s="152">
        <f>Q12+R15+Q20+R23+Q27+Q32+R35</f>
        <v>6</v>
      </c>
      <c r="X43" s="129">
        <f t="shared" si="1"/>
        <v>4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1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8</v>
      </c>
      <c r="Q44" s="152">
        <f t="shared" si="0"/>
        <v>4</v>
      </c>
      <c r="R44" s="152">
        <f t="shared" si="2"/>
        <v>2</v>
      </c>
      <c r="S44" s="152">
        <f t="shared" si="3"/>
        <v>0</v>
      </c>
      <c r="T44" s="152">
        <f t="shared" si="4"/>
        <v>2</v>
      </c>
      <c r="U44" s="152">
        <f>L12+J16+J19+L24+J29+L31+L38</f>
        <v>2</v>
      </c>
      <c r="V44" s="152">
        <f>J12+L16+L19+J24+L29+J31+J38</f>
        <v>0</v>
      </c>
      <c r="W44" s="152">
        <f>R12+Q16+Q19+R24+Q29+R31+R38</f>
        <v>6</v>
      </c>
      <c r="X44" s="129">
        <f t="shared" si="1"/>
        <v>1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 t="str">
        <f>IF(AND($J$13&lt;&gt;"",$L$13&lt;&gt;""),IF($J$13&gt;$L$13,3,IF($J$13=$L$13,1,0)),"")</f>
        <v/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2</v>
      </c>
      <c r="R45" s="152">
        <f t="shared" si="2"/>
        <v>0</v>
      </c>
      <c r="S45" s="152">
        <f t="shared" si="3"/>
        <v>1</v>
      </c>
      <c r="T45" s="152">
        <f t="shared" si="4"/>
        <v>1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3</v>
      </c>
      <c r="X45" s="129">
        <f t="shared" si="1"/>
        <v>6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 t="str">
        <f>IF(AND($J$13&lt;&gt;"",$L$13&lt;&gt;""),IF($J$13&lt;$L$13,3,IF($J$13=$L$13,1,0)),"")</f>
        <v/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2</v>
      </c>
      <c r="R46" s="152">
        <f t="shared" si="2"/>
        <v>1</v>
      </c>
      <c r="S46" s="152">
        <f t="shared" si="3"/>
        <v>0</v>
      </c>
      <c r="T46" s="152">
        <f t="shared" si="4"/>
        <v>1</v>
      </c>
      <c r="U46" s="152">
        <f>L13+J17+J22+J24+L27+L33+J36</f>
        <v>3</v>
      </c>
      <c r="V46" s="152">
        <f>J13+L17+L22+L24+J27+J33+L36</f>
        <v>0</v>
      </c>
      <c r="W46" s="152">
        <f>R13+Q17+Q22+Q24+R27+R33+Q36</f>
        <v>4</v>
      </c>
      <c r="X46" s="129">
        <f t="shared" si="1"/>
        <v>3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3</v>
      </c>
      <c r="R47" s="152">
        <f t="shared" si="2"/>
        <v>1</v>
      </c>
      <c r="S47" s="152">
        <f t="shared" si="3"/>
        <v>2</v>
      </c>
      <c r="T47" s="152">
        <f t="shared" si="4"/>
        <v>0</v>
      </c>
      <c r="U47" s="152">
        <f>J14+L17+L21+L25+J30+L32+J38</f>
        <v>1</v>
      </c>
      <c r="V47" s="152">
        <f>L14+J17+J21+J25+L30+J32+L38</f>
        <v>5</v>
      </c>
      <c r="W47" s="152">
        <f>Q14+R17+R21+R25+Q30+R32+Q38</f>
        <v>5</v>
      </c>
      <c r="X47" s="129">
        <f t="shared" si="1"/>
        <v>4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99E0B-4928-4439-8A54-60CF2FDB4F11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5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4</v>
      </c>
      <c r="K12" s="124" t="s">
        <v>294</v>
      </c>
      <c r="L12" s="125">
        <v>0</v>
      </c>
      <c r="M12" s="126" t="str">
        <f>Scheids!$D$8</f>
        <v>Louis vd Weijde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1</v>
      </c>
      <c r="K13" s="124" t="s">
        <v>294</v>
      </c>
      <c r="L13" s="125">
        <v>0</v>
      </c>
      <c r="M13" s="126" t="str">
        <f>Scheids!$D$8</f>
        <v>Louis vd Weijde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2</v>
      </c>
      <c r="K14" s="124" t="s">
        <v>294</v>
      </c>
      <c r="L14" s="125">
        <v>0</v>
      </c>
      <c r="M14" s="126" t="str">
        <f>Scheids!$F$8</f>
        <v>Marcel den Os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4</v>
      </c>
      <c r="M15" s="126" t="str">
        <f>Scheids!$F$8</f>
        <v>Marcel den Os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0</v>
      </c>
      <c r="K16" s="124" t="s">
        <v>294</v>
      </c>
      <c r="L16" s="125">
        <v>5</v>
      </c>
      <c r="M16" s="126" t="str">
        <f>Scheids!$F$8</f>
        <v>Marcel den Os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2</v>
      </c>
      <c r="K17" s="124" t="s">
        <v>294</v>
      </c>
      <c r="L17" s="125">
        <v>0</v>
      </c>
      <c r="M17" s="126" t="str">
        <f>Scheids!$D$8</f>
        <v>Louis vd Weijde</v>
      </c>
      <c r="N17" s="127"/>
      <c r="O17" s="128"/>
      <c r="Q17" s="129">
        <v>1</v>
      </c>
      <c r="R17" s="129">
        <v>0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2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>
        <v>0</v>
      </c>
      <c r="K19" s="124" t="s">
        <v>294</v>
      </c>
      <c r="L19" s="125">
        <v>2</v>
      </c>
      <c r="M19" s="126" t="str">
        <f>Scheids!$D$8</f>
        <v>Louis vd Weijde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>
        <v>2</v>
      </c>
      <c r="K20" s="124" t="s">
        <v>294</v>
      </c>
      <c r="L20" s="125">
        <v>2</v>
      </c>
      <c r="M20" s="126" t="str">
        <f>Scheids!$F$8</f>
        <v>Marcel den Os</v>
      </c>
      <c r="N20" s="127"/>
      <c r="O20" s="128"/>
      <c r="Q20" s="129">
        <v>2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>
        <v>2</v>
      </c>
      <c r="K21" s="124" t="s">
        <v>294</v>
      </c>
      <c r="L21" s="125">
        <v>0</v>
      </c>
      <c r="M21" s="126" t="str">
        <f>Scheids!$F$8</f>
        <v>Marcel den Os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>
        <v>5</v>
      </c>
      <c r="K22" s="124" t="s">
        <v>294</v>
      </c>
      <c r="L22" s="125">
        <v>0</v>
      </c>
      <c r="M22" s="126" t="str">
        <f>Scheids!$F$8</f>
        <v>Marcel den Os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>
        <v>3</v>
      </c>
      <c r="K23" s="124" t="s">
        <v>294</v>
      </c>
      <c r="L23" s="125">
        <v>1</v>
      </c>
      <c r="M23" s="126" t="str">
        <f>Scheids!$D$8</f>
        <v>Louis vd Weijde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>
        <v>3</v>
      </c>
      <c r="K24" s="124" t="s">
        <v>294</v>
      </c>
      <c r="L24" s="125">
        <v>0</v>
      </c>
      <c r="M24" s="126" t="str">
        <f>Scheids!$D$8</f>
        <v>Louis vd Weijde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>
        <v>1</v>
      </c>
      <c r="K25" s="124" t="s">
        <v>294</v>
      </c>
      <c r="L25" s="125">
        <v>4</v>
      </c>
      <c r="M25" s="126" t="str">
        <f>Scheids!$D$8</f>
        <v>Louis vd Weijde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/>
      <c r="K26" s="124" t="s">
        <v>294</v>
      </c>
      <c r="L26" s="125"/>
      <c r="M26" s="126" t="str">
        <f>Scheids!$F$8</f>
        <v>Marcel den Os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/>
      <c r="K27" s="124" t="s">
        <v>294</v>
      </c>
      <c r="L27" s="125"/>
      <c r="M27" s="126" t="str">
        <f>Scheids!$F$8</f>
        <v>Marcel den Os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/>
      <c r="K28" s="124" t="s">
        <v>294</v>
      </c>
      <c r="L28" s="125"/>
      <c r="M28" s="126" t="str">
        <f>Scheids!$F$8</f>
        <v>Marcel den Os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/>
      <c r="K29" s="124" t="s">
        <v>294</v>
      </c>
      <c r="L29" s="125"/>
      <c r="M29" s="126" t="str">
        <f>Scheids!$D$8</f>
        <v>Louis vd Weijde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/>
      <c r="K30" s="124" t="s">
        <v>294</v>
      </c>
      <c r="L30" s="125"/>
      <c r="M30" s="126" t="str">
        <f>Scheids!$D$8</f>
        <v>Louis vd Weijde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/>
      <c r="K31" s="124" t="s">
        <v>294</v>
      </c>
      <c r="L31" s="125"/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/>
      <c r="K32" s="124" t="s">
        <v>294</v>
      </c>
      <c r="L32" s="125"/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/>
      <c r="K33" s="124" t="s">
        <v>294</v>
      </c>
      <c r="L33" s="125"/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/>
      <c r="K34" s="124" t="s">
        <v>294</v>
      </c>
      <c r="L34" s="125"/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/>
      <c r="K35" s="124" t="s">
        <v>294</v>
      </c>
      <c r="L35" s="125"/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/>
      <c r="K36" s="124" t="s">
        <v>294</v>
      </c>
      <c r="L36" s="125"/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/>
      <c r="K37" s="124" t="s">
        <v>294</v>
      </c>
      <c r="L37" s="125"/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/>
      <c r="K38" s="139" t="s">
        <v>294</v>
      </c>
      <c r="L38" s="140"/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1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10</v>
      </c>
      <c r="Q41" s="152">
        <f t="shared" ref="Q41:Q48" si="0">COUNT(E41:N41)</f>
        <v>4</v>
      </c>
      <c r="R41" s="152">
        <f>COUNTIFS(E41:N41,3)</f>
        <v>3</v>
      </c>
      <c r="S41" s="152">
        <f>COUNTIFS(E41:N41,0)</f>
        <v>0</v>
      </c>
      <c r="T41" s="152">
        <f>COUNTIFS(E41:N41,1)</f>
        <v>1</v>
      </c>
      <c r="U41" s="152">
        <f>J11+L18+J21+J23+L29+J34+L36</f>
        <v>12</v>
      </c>
      <c r="V41" s="152">
        <f>L11+J18+L21+L23+J29+L34+J36</f>
        <v>5</v>
      </c>
      <c r="W41" s="152">
        <f>Q11+R18+Q21+Q23+R29+Q34+R36</f>
        <v>5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6</v>
      </c>
      <c r="V42" s="152">
        <f>J11+L15+J19+L25+L28+L33+J37</f>
        <v>13</v>
      </c>
      <c r="W42" s="152">
        <f>R11+Q15+R19+Q25+Q28+Q33+R37</f>
        <v>5</v>
      </c>
      <c r="X42" s="129">
        <f t="shared" si="1"/>
        <v>6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7</v>
      </c>
      <c r="Q43" s="152">
        <f t="shared" si="0"/>
        <v>4</v>
      </c>
      <c r="R43" s="152">
        <f t="shared" si="2"/>
        <v>2</v>
      </c>
      <c r="S43" s="152">
        <f t="shared" si="3"/>
        <v>1</v>
      </c>
      <c r="T43" s="152">
        <f t="shared" si="4"/>
        <v>1</v>
      </c>
      <c r="U43" s="152">
        <f>J12+L15+J20+L23+J27+J32+L35</f>
        <v>11</v>
      </c>
      <c r="V43" s="152">
        <f>L12+J15+L20+J23+L27+L32+J35</f>
        <v>6</v>
      </c>
      <c r="W43" s="152">
        <f>Q12+R15+Q20+R23+Q27+Q32+R35</f>
        <v>6</v>
      </c>
      <c r="X43" s="129">
        <f t="shared" si="1"/>
        <v>3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4</v>
      </c>
      <c r="R44" s="152">
        <f t="shared" si="2"/>
        <v>0</v>
      </c>
      <c r="S44" s="152">
        <f t="shared" si="3"/>
        <v>4</v>
      </c>
      <c r="T44" s="152">
        <f t="shared" si="4"/>
        <v>0</v>
      </c>
      <c r="U44" s="152">
        <f>L12+J16+J19+L24+J29+L31+L38</f>
        <v>0</v>
      </c>
      <c r="V44" s="152">
        <f>J12+L16+L19+J24+L29+J31+J38</f>
        <v>14</v>
      </c>
      <c r="W44" s="152">
        <f>R12+Q16+Q19+R24+Q29+R31+R38</f>
        <v>5</v>
      </c>
      <c r="X44" s="129">
        <f t="shared" si="1"/>
        <v>8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3</v>
      </c>
      <c r="R45" s="152">
        <f t="shared" si="2"/>
        <v>2</v>
      </c>
      <c r="S45" s="152">
        <f t="shared" si="3"/>
        <v>0</v>
      </c>
      <c r="T45" s="152">
        <f t="shared" si="4"/>
        <v>1</v>
      </c>
      <c r="U45" s="152">
        <f>J13+L16+L20+J26+L30+L34+J37</f>
        <v>8</v>
      </c>
      <c r="V45" s="152">
        <f>L13+J16+J20+L26+J30+J34+L37</f>
        <v>2</v>
      </c>
      <c r="W45" s="152">
        <f>Q13+R16+R20+Q26+R30+R34+Q37</f>
        <v>3</v>
      </c>
      <c r="X45" s="129">
        <f t="shared" si="1"/>
        <v>3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4</v>
      </c>
      <c r="R46" s="152">
        <f t="shared" si="2"/>
        <v>3</v>
      </c>
      <c r="S46" s="152">
        <f t="shared" si="3"/>
        <v>1</v>
      </c>
      <c r="T46" s="152">
        <f t="shared" si="4"/>
        <v>0</v>
      </c>
      <c r="U46" s="152">
        <f>L13+J17+J22+J24+L27+L33+J36</f>
        <v>10</v>
      </c>
      <c r="V46" s="152">
        <f>J13+L17+L22+L24+J27+J33+L36</f>
        <v>1</v>
      </c>
      <c r="W46" s="152">
        <f>R13+Q17+Q22+Q24+R27+R33+Q36</f>
        <v>4</v>
      </c>
      <c r="X46" s="129">
        <f t="shared" si="1"/>
        <v>2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4</v>
      </c>
      <c r="R47" s="152">
        <f t="shared" si="2"/>
        <v>2</v>
      </c>
      <c r="S47" s="152">
        <f t="shared" si="3"/>
        <v>2</v>
      </c>
      <c r="T47" s="152">
        <f t="shared" si="4"/>
        <v>0</v>
      </c>
      <c r="U47" s="152">
        <f>J14+L17+L21+L25+J30+L32+J38</f>
        <v>6</v>
      </c>
      <c r="V47" s="152">
        <f>L14+J17+J21+J25+L30+J32+L38</f>
        <v>5</v>
      </c>
      <c r="W47" s="152">
        <f>Q14+R17+R21+R25+Q30+R32+Q38</f>
        <v>5</v>
      </c>
      <c r="X47" s="129">
        <f t="shared" si="1"/>
        <v>5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1</v>
      </c>
      <c r="G48" s="141"/>
      <c r="H48" s="143">
        <f>IF(AND($J$22&lt;&gt;"",$L$22&lt;&gt;""),IF($J$22&lt;$L$22,3,IF($J$22=$L$22,1,0)),"")</f>
        <v>0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</v>
      </c>
      <c r="Q48" s="152">
        <f t="shared" si="0"/>
        <v>3</v>
      </c>
      <c r="R48" s="152">
        <f t="shared" si="2"/>
        <v>0</v>
      </c>
      <c r="S48" s="152">
        <f t="shared" si="3"/>
        <v>2</v>
      </c>
      <c r="T48" s="152">
        <f t="shared" si="4"/>
        <v>1</v>
      </c>
      <c r="U48" s="152">
        <f>L14+J18+L22+L26+L28+J31+J35</f>
        <v>2</v>
      </c>
      <c r="V48" s="152">
        <f>J14+L18+J22+J26+J28+L31+L35</f>
        <v>9</v>
      </c>
      <c r="W48" s="152">
        <f>+R14+Q18+R22+R26+R28+Q31+Q35</f>
        <v>5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0F3D7-EC40-4420-BAF5-62B706A8EBC3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0</v>
      </c>
      <c r="K11" s="110" t="s">
        <v>294</v>
      </c>
      <c r="L11" s="111">
        <v>3</v>
      </c>
      <c r="M11" s="112" t="str">
        <f>Scheids!$D$9</f>
        <v>Chris van Noordwijk</v>
      </c>
      <c r="N11" s="113"/>
      <c r="O11" s="114"/>
      <c r="Q11" s="115">
        <v>0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0</v>
      </c>
      <c r="K12" s="124" t="s">
        <v>294</v>
      </c>
      <c r="L12" s="125">
        <v>6</v>
      </c>
      <c r="M12" s="126" t="str">
        <f>Scheids!$D$9</f>
        <v>Chris van Noordwijk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3</v>
      </c>
      <c r="K13" s="124" t="s">
        <v>294</v>
      </c>
      <c r="L13" s="125">
        <v>0</v>
      </c>
      <c r="M13" s="126" t="str">
        <f>Scheids!$D$9</f>
        <v>Chris van Noordwijk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0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1</v>
      </c>
      <c r="M16" s="126" t="str">
        <f>Scheids!$F$9</f>
        <v>Dik vd Mast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0</v>
      </c>
      <c r="K17" s="124" t="s">
        <v>294</v>
      </c>
      <c r="L17" s="125">
        <v>1</v>
      </c>
      <c r="M17" s="126" t="str">
        <f>Scheids!$F$9</f>
        <v>Dik vd Mast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>
        <v>4</v>
      </c>
      <c r="K19" s="124" t="s">
        <v>294</v>
      </c>
      <c r="L19" s="125">
        <v>0</v>
      </c>
      <c r="M19" s="126" t="str">
        <f>Scheids!$D$9</f>
        <v>Chris van Noordwijk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>
        <v>0</v>
      </c>
      <c r="K20" s="124" t="s">
        <v>294</v>
      </c>
      <c r="L20" s="125">
        <v>3</v>
      </c>
      <c r="M20" s="126" t="str">
        <f>Scheids!$D$9</f>
        <v>Chris van Noordwijk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>
        <v>3</v>
      </c>
      <c r="K21" s="124" t="s">
        <v>294</v>
      </c>
      <c r="L21" s="125">
        <v>0</v>
      </c>
      <c r="M21" s="126" t="str">
        <f>Scheids!$D$9</f>
        <v>Chris van Noordwijk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>
        <v>5</v>
      </c>
      <c r="K23" s="124" t="s">
        <v>294</v>
      </c>
      <c r="L23" s="125">
        <v>0</v>
      </c>
      <c r="M23" s="126" t="str">
        <f>Scheids!$F$9</f>
        <v>Dik vd Mast</v>
      </c>
      <c r="N23" s="127"/>
      <c r="O23" s="128"/>
      <c r="Q23" s="129">
        <v>1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>
        <v>1</v>
      </c>
      <c r="K24" s="124" t="s">
        <v>294</v>
      </c>
      <c r="L24" s="125">
        <v>3</v>
      </c>
      <c r="M24" s="126" t="str">
        <f>Scheids!$F$9</f>
        <v>Dik vd Mast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>
        <v>0</v>
      </c>
      <c r="K25" s="124" t="s">
        <v>294</v>
      </c>
      <c r="L25" s="125">
        <v>2</v>
      </c>
      <c r="M25" s="126" t="str">
        <f>Scheids!$F$9</f>
        <v>Dik vd Mast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/>
      <c r="K27" s="124" t="s">
        <v>294</v>
      </c>
      <c r="L27" s="125"/>
      <c r="M27" s="126" t="str">
        <f>Scheids!$D$9</f>
        <v>Chris van Noordwijk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/>
      <c r="K29" s="124" t="s">
        <v>294</v>
      </c>
      <c r="L29" s="125"/>
      <c r="M29" s="126" t="str">
        <f>Scheids!$D$9</f>
        <v>Chris van Noordwijk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/>
      <c r="K30" s="124" t="s">
        <v>294</v>
      </c>
      <c r="L30" s="125"/>
      <c r="M30" s="126" t="str">
        <f>Scheids!$D$9</f>
        <v>Chris van Noordwijk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/>
      <c r="K32" s="124" t="s">
        <v>294</v>
      </c>
      <c r="L32" s="125"/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/>
      <c r="K33" s="124" t="s">
        <v>294</v>
      </c>
      <c r="L33" s="125"/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/>
      <c r="K34" s="124" t="s">
        <v>294</v>
      </c>
      <c r="L34" s="125"/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/>
      <c r="K36" s="124" t="s">
        <v>294</v>
      </c>
      <c r="L36" s="125"/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/>
      <c r="K37" s="124" t="s">
        <v>294</v>
      </c>
      <c r="L37" s="125"/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/>
      <c r="K38" s="139" t="s">
        <v>294</v>
      </c>
      <c r="L38" s="140"/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3</v>
      </c>
      <c r="R41" s="152">
        <f>COUNTIFS(E41:N41,3)</f>
        <v>2</v>
      </c>
      <c r="S41" s="152">
        <f>COUNTIFS(E41:N41,0)</f>
        <v>1</v>
      </c>
      <c r="T41" s="152">
        <f>COUNTIFS(E41:N41,1)</f>
        <v>0</v>
      </c>
      <c r="U41" s="152">
        <f>J11+L18+J21+J23+L29+J34+L36</f>
        <v>8</v>
      </c>
      <c r="V41" s="152">
        <f>L11+J18+L21+L23+J29+L34+J36</f>
        <v>3</v>
      </c>
      <c r="W41" s="152">
        <f>Q11+R18+Q21+Q23+R29+Q34+R36</f>
        <v>3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8</v>
      </c>
      <c r="W42" s="152">
        <f>R11+Q15+R19+Q25+Q28+Q33+R37</f>
        <v>8</v>
      </c>
      <c r="X42" s="129">
        <f t="shared" si="1"/>
        <v>5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4</v>
      </c>
      <c r="R43" s="152">
        <f t="shared" si="2"/>
        <v>1</v>
      </c>
      <c r="S43" s="152">
        <f t="shared" si="3"/>
        <v>3</v>
      </c>
      <c r="T43" s="152">
        <f t="shared" si="4"/>
        <v>0</v>
      </c>
      <c r="U43" s="152">
        <f>J12+L15+J20+L23+J27+J32+L35</f>
        <v>2</v>
      </c>
      <c r="V43" s="152">
        <f>L12+J15+L20+J23+L27+L32+J35</f>
        <v>14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4</v>
      </c>
      <c r="R44" s="152">
        <f t="shared" si="2"/>
        <v>3</v>
      </c>
      <c r="S44" s="152">
        <f t="shared" si="3"/>
        <v>0</v>
      </c>
      <c r="T44" s="152">
        <f t="shared" si="4"/>
        <v>1</v>
      </c>
      <c r="U44" s="152">
        <f>L12+J16+J19+L24+J29+L31+L38</f>
        <v>14</v>
      </c>
      <c r="V44" s="152">
        <f>J12+L16+L19+J24+L29+J31+J38</f>
        <v>2</v>
      </c>
      <c r="W44" s="152">
        <f>R12+Q16+Q19+R24+Q29+R31+R38</f>
        <v>8</v>
      </c>
      <c r="X44" s="129">
        <f t="shared" si="1"/>
        <v>1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3</v>
      </c>
      <c r="R45" s="152">
        <f t="shared" si="2"/>
        <v>2</v>
      </c>
      <c r="S45" s="152">
        <f t="shared" si="3"/>
        <v>0</v>
      </c>
      <c r="T45" s="152">
        <f t="shared" si="4"/>
        <v>1</v>
      </c>
      <c r="U45" s="152">
        <f>J13+L16+L20+J26+L30+L34+J37</f>
        <v>7</v>
      </c>
      <c r="V45" s="152">
        <f>L13+J16+J20+L26+J30+J34+L37</f>
        <v>1</v>
      </c>
      <c r="W45" s="152">
        <f>Q13+R16+R20+Q26+R30+R34+Q37</f>
        <v>6</v>
      </c>
      <c r="X45" s="129">
        <f t="shared" si="1"/>
        <v>2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3</v>
      </c>
      <c r="R46" s="152">
        <f t="shared" si="2"/>
        <v>0</v>
      </c>
      <c r="S46" s="152">
        <f t="shared" si="3"/>
        <v>3</v>
      </c>
      <c r="T46" s="152">
        <f t="shared" si="4"/>
        <v>0</v>
      </c>
      <c r="U46" s="152">
        <f>L13+J17+J22+J24+L27+L33+J36</f>
        <v>1</v>
      </c>
      <c r="V46" s="152">
        <f>J13+L17+L22+L24+J27+J33+L36</f>
        <v>7</v>
      </c>
      <c r="W46" s="152">
        <f>R13+Q17+Q22+Q24+R27+R33+Q36</f>
        <v>5</v>
      </c>
      <c r="X46" s="129">
        <f t="shared" si="1"/>
        <v>7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3</v>
      </c>
      <c r="R47" s="152">
        <f t="shared" si="2"/>
        <v>2</v>
      </c>
      <c r="S47" s="152">
        <f t="shared" si="3"/>
        <v>1</v>
      </c>
      <c r="T47" s="152">
        <f t="shared" si="4"/>
        <v>0</v>
      </c>
      <c r="U47" s="152">
        <f>J14+L17+L21+L25+J30+L32+J38</f>
        <v>3</v>
      </c>
      <c r="V47" s="152">
        <f>L14+J17+J21+J25+L30+J32+L38</f>
        <v>3</v>
      </c>
      <c r="W47" s="152">
        <f>Q14+R17+R21+R25+Q30+R32+Q38</f>
        <v>6</v>
      </c>
      <c r="X47" s="129">
        <f t="shared" si="1"/>
        <v>3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30530-2FAE-4684-82A1-B760A4671388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2</v>
      </c>
      <c r="K11" s="110" t="s">
        <v>294</v>
      </c>
      <c r="L11" s="111">
        <v>0</v>
      </c>
      <c r="M11" s="112" t="str">
        <f>Scheids!$D$10</f>
        <v>Dion Dingler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2</v>
      </c>
      <c r="K12" s="124" t="s">
        <v>294</v>
      </c>
      <c r="L12" s="125">
        <v>1</v>
      </c>
      <c r="M12" s="126" t="str">
        <f>Scheids!$D$10</f>
        <v>Dion Dingler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0</v>
      </c>
      <c r="K13" s="124" t="s">
        <v>294</v>
      </c>
      <c r="L13" s="125">
        <v>4</v>
      </c>
      <c r="M13" s="126" t="str">
        <f>Scheids!$D$10</f>
        <v>Dion Dingler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3</v>
      </c>
      <c r="K15" s="124" t="s">
        <v>294</v>
      </c>
      <c r="L15" s="125">
        <v>0</v>
      </c>
      <c r="M15" s="126" t="str">
        <f>Scheids!$F$10</f>
        <v>Henk Priem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3</v>
      </c>
      <c r="K16" s="124" t="s">
        <v>294</v>
      </c>
      <c r="L16" s="125">
        <v>0</v>
      </c>
      <c r="M16" s="126" t="str">
        <f>Scheids!$F$10</f>
        <v>Henk Priem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4</v>
      </c>
      <c r="K17" s="124" t="s">
        <v>294</v>
      </c>
      <c r="L17" s="125">
        <v>0</v>
      </c>
      <c r="M17" s="126" t="str">
        <f>Scheids!$F$10</f>
        <v>Henk Priem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>
        <v>0</v>
      </c>
      <c r="K19" s="124" t="s">
        <v>294</v>
      </c>
      <c r="L19" s="125">
        <v>2</v>
      </c>
      <c r="M19" s="126" t="str">
        <f>Scheids!$D$10</f>
        <v>Dion Dingler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>
        <v>4</v>
      </c>
      <c r="K20" s="124" t="s">
        <v>294</v>
      </c>
      <c r="L20" s="125">
        <v>0</v>
      </c>
      <c r="M20" s="126" t="str">
        <f>Scheids!$D$10</f>
        <v>Dion Dingler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>
        <v>5</v>
      </c>
      <c r="K21" s="124" t="s">
        <v>294</v>
      </c>
      <c r="L21" s="125">
        <v>0</v>
      </c>
      <c r="M21" s="126" t="str">
        <f>Scheids!$D$10</f>
        <v>Dion Dingler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>
        <v>2</v>
      </c>
      <c r="K23" s="124" t="s">
        <v>294</v>
      </c>
      <c r="L23" s="125">
        <v>0</v>
      </c>
      <c r="M23" s="126" t="str">
        <f>Scheids!$F$10</f>
        <v>Henk Priem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>
        <v>4</v>
      </c>
      <c r="K24" s="124" t="s">
        <v>294</v>
      </c>
      <c r="L24" s="125">
        <v>0</v>
      </c>
      <c r="M24" s="126" t="str">
        <f>Scheids!$F$10</f>
        <v>Henk Priem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>
        <v>6</v>
      </c>
      <c r="K25" s="124" t="s">
        <v>294</v>
      </c>
      <c r="L25" s="125">
        <v>0</v>
      </c>
      <c r="M25" s="126" t="str">
        <f>Scheids!$F$10</f>
        <v>Henk Priem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/>
      <c r="K27" s="124" t="s">
        <v>294</v>
      </c>
      <c r="L27" s="125"/>
      <c r="M27" s="126" t="str">
        <f>Scheids!$D$10</f>
        <v>Dion Dingler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/>
      <c r="K29" s="124" t="s">
        <v>294</v>
      </c>
      <c r="L29" s="125"/>
      <c r="M29" s="126" t="str">
        <f>Scheids!$D$10</f>
        <v>Dion Dingler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/>
      <c r="K30" s="124" t="s">
        <v>294</v>
      </c>
      <c r="L30" s="125"/>
      <c r="M30" s="126" t="str">
        <f>Scheids!$D$10</f>
        <v>Dion Dingler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/>
      <c r="K32" s="124" t="s">
        <v>294</v>
      </c>
      <c r="L32" s="125"/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/>
      <c r="K33" s="124" t="s">
        <v>294</v>
      </c>
      <c r="L33" s="125"/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/>
      <c r="K34" s="124" t="s">
        <v>294</v>
      </c>
      <c r="L34" s="125"/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/>
      <c r="K36" s="124" t="s">
        <v>294</v>
      </c>
      <c r="L36" s="125"/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/>
      <c r="K37" s="124" t="s">
        <v>294</v>
      </c>
      <c r="L37" s="125"/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/>
      <c r="K38" s="139" t="s">
        <v>294</v>
      </c>
      <c r="L38" s="140"/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9</v>
      </c>
      <c r="Q41" s="152">
        <f t="shared" ref="Q41:Q48" si="0">COUNT(E41:N41)</f>
        <v>3</v>
      </c>
      <c r="R41" s="152">
        <f>COUNTIFS(E41:N41,3)</f>
        <v>3</v>
      </c>
      <c r="S41" s="152">
        <f>COUNTIFS(E41:N41,0)</f>
        <v>0</v>
      </c>
      <c r="T41" s="152">
        <f>COUNTIFS(E41:N41,1)</f>
        <v>0</v>
      </c>
      <c r="U41" s="152">
        <f>J11+L18+J21+J23+L29+J34+L36</f>
        <v>9</v>
      </c>
      <c r="V41" s="152">
        <f>L11+J18+L21+L23+J29+L34+J36</f>
        <v>0</v>
      </c>
      <c r="W41" s="152">
        <f>Q11+R18+Q21+Q23+R29+Q34+R36</f>
        <v>5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11</v>
      </c>
      <c r="V42" s="152">
        <f>J11+L15+J19+L25+L28+L33+J37</f>
        <v>2</v>
      </c>
      <c r="W42" s="152">
        <f>R11+Q15+R19+Q25+Q28+Q33+R37</f>
        <v>5</v>
      </c>
      <c r="X42" s="129">
        <f t="shared" si="1"/>
        <v>1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4</v>
      </c>
      <c r="R43" s="152">
        <f t="shared" si="2"/>
        <v>2</v>
      </c>
      <c r="S43" s="152">
        <f t="shared" si="3"/>
        <v>2</v>
      </c>
      <c r="T43" s="152">
        <f t="shared" si="4"/>
        <v>0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5</v>
      </c>
      <c r="X43" s="129">
        <f t="shared" si="1"/>
        <v>4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4</v>
      </c>
      <c r="R44" s="152">
        <f t="shared" si="2"/>
        <v>1</v>
      </c>
      <c r="S44" s="152">
        <f t="shared" si="3"/>
        <v>3</v>
      </c>
      <c r="T44" s="152">
        <f t="shared" si="4"/>
        <v>0</v>
      </c>
      <c r="U44" s="152">
        <f>L12+J16+J19+L24+J29+L31+L38</f>
        <v>4</v>
      </c>
      <c r="V44" s="152">
        <f>J12+L16+L19+J24+L29+J31+J38</f>
        <v>8</v>
      </c>
      <c r="W44" s="152">
        <f>R12+Q16+Q19+R24+Q29+R31+R38</f>
        <v>4</v>
      </c>
      <c r="X44" s="129">
        <f t="shared" si="1"/>
        <v>5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11</v>
      </c>
      <c r="W45" s="152">
        <f>Q13+R16+R20+Q26+R30+R34+Q37</f>
        <v>5</v>
      </c>
      <c r="X45" s="129">
        <f t="shared" si="1"/>
        <v>6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3</v>
      </c>
      <c r="R46" s="152">
        <f t="shared" si="2"/>
        <v>3</v>
      </c>
      <c r="S46" s="152">
        <f t="shared" si="3"/>
        <v>0</v>
      </c>
      <c r="T46" s="152">
        <f t="shared" si="4"/>
        <v>0</v>
      </c>
      <c r="U46" s="152">
        <f>L13+J17+J22+J24+L27+L33+J36</f>
        <v>12</v>
      </c>
      <c r="V46" s="152">
        <f>J13+L17+L22+L24+J27+J33+L36</f>
        <v>0</v>
      </c>
      <c r="W46" s="152">
        <f>R13+Q17+Q22+Q24+R27+R33+Q36</f>
        <v>4</v>
      </c>
      <c r="X46" s="129">
        <f t="shared" si="1"/>
        <v>1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3</v>
      </c>
      <c r="R47" s="152">
        <f t="shared" si="2"/>
        <v>0</v>
      </c>
      <c r="S47" s="152">
        <f t="shared" si="3"/>
        <v>3</v>
      </c>
      <c r="T47" s="152">
        <f t="shared" si="4"/>
        <v>0</v>
      </c>
      <c r="U47" s="152">
        <f>J14+L17+L21+L25+J30+L32+J38</f>
        <v>0</v>
      </c>
      <c r="V47" s="152">
        <f>L14+J17+J21+J25+L30+J32+L38</f>
        <v>15</v>
      </c>
      <c r="W47" s="152">
        <f>Q14+R17+R21+R25+Q30+R32+Q38</f>
        <v>4</v>
      </c>
      <c r="X47" s="129">
        <f t="shared" si="1"/>
        <v>6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B20D0-180F-4F63-84CC-14FC9A67F4C9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0</v>
      </c>
      <c r="K11" s="110" t="s">
        <v>294</v>
      </c>
      <c r="L11" s="111">
        <v>4</v>
      </c>
      <c r="M11" s="112" t="str">
        <f>Scheids!$D$11</f>
        <v>Leo Boer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0</v>
      </c>
      <c r="K12" s="124" t="s">
        <v>294</v>
      </c>
      <c r="L12" s="125">
        <v>0</v>
      </c>
      <c r="M12" s="126" t="str">
        <f>Scheids!$D$11</f>
        <v>Leo Boer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0</v>
      </c>
      <c r="K13" s="124" t="s">
        <v>294</v>
      </c>
      <c r="L13" s="125">
        <v>1</v>
      </c>
      <c r="M13" s="126" t="str">
        <f>Scheids!$D$11</f>
        <v>Leo Boer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2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3</v>
      </c>
      <c r="K16" s="124" t="s">
        <v>294</v>
      </c>
      <c r="L16" s="125">
        <v>0</v>
      </c>
      <c r="M16" s="126" t="str">
        <f>Scheids!$F$11</f>
        <v>Lars v Gassel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0</v>
      </c>
      <c r="K17" s="124" t="s">
        <v>294</v>
      </c>
      <c r="L17" s="125">
        <v>0</v>
      </c>
      <c r="M17" s="126" t="str">
        <f>Scheids!$F$11</f>
        <v>Lars v Gassel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>
        <v>1</v>
      </c>
      <c r="K19" s="124" t="s">
        <v>294</v>
      </c>
      <c r="L19" s="125">
        <v>2</v>
      </c>
      <c r="M19" s="126" t="str">
        <f>Scheids!$D$11</f>
        <v>Leo Boer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>
        <v>2</v>
      </c>
      <c r="K20" s="124" t="s">
        <v>294</v>
      </c>
      <c r="L20" s="125">
        <v>0</v>
      </c>
      <c r="M20" s="126" t="str">
        <f>Scheids!$D$11</f>
        <v>Leo Boer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>
        <v>0</v>
      </c>
      <c r="K21" s="124" t="s">
        <v>294</v>
      </c>
      <c r="L21" s="125">
        <v>0</v>
      </c>
      <c r="M21" s="126" t="str">
        <f>Scheids!$D$11</f>
        <v>Leo Boer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>
        <v>0</v>
      </c>
      <c r="K23" s="124" t="s">
        <v>294</v>
      </c>
      <c r="L23" s="125">
        <v>3</v>
      </c>
      <c r="M23" s="126" t="str">
        <f>Scheids!$F$11</f>
        <v>Lars v Gassel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>
        <v>3</v>
      </c>
      <c r="K24" s="124" t="s">
        <v>294</v>
      </c>
      <c r="L24" s="125">
        <v>0</v>
      </c>
      <c r="M24" s="126" t="str">
        <f>Scheids!$F$11</f>
        <v>Lars v Gassel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>
        <v>3</v>
      </c>
      <c r="K25" s="124" t="s">
        <v>294</v>
      </c>
      <c r="L25" s="125">
        <v>0</v>
      </c>
      <c r="M25" s="126" t="str">
        <f>Scheids!$F$11</f>
        <v>Lars v Gassel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/>
      <c r="K27" s="124" t="s">
        <v>294</v>
      </c>
      <c r="L27" s="125"/>
      <c r="M27" s="126" t="str">
        <f>Scheids!$D$11</f>
        <v>Leo Boer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/>
      <c r="K29" s="124" t="s">
        <v>294</v>
      </c>
      <c r="L29" s="125"/>
      <c r="M29" s="126" t="str">
        <f>Scheids!$D$11</f>
        <v>Leo Boer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/>
      <c r="K30" s="124" t="s">
        <v>294</v>
      </c>
      <c r="L30" s="125"/>
      <c r="M30" s="126" t="str">
        <f>Scheids!$D$11</f>
        <v>Leo Boer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/>
      <c r="K32" s="124" t="s">
        <v>294</v>
      </c>
      <c r="L32" s="125"/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/>
      <c r="K33" s="124" t="s">
        <v>294</v>
      </c>
      <c r="L33" s="125"/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/>
      <c r="K34" s="124" t="s">
        <v>294</v>
      </c>
      <c r="L34" s="125"/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/>
      <c r="K36" s="124" t="s">
        <v>294</v>
      </c>
      <c r="L36" s="125"/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/>
      <c r="K37" s="124" t="s">
        <v>294</v>
      </c>
      <c r="L37" s="125"/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/>
      <c r="K38" s="139" t="s">
        <v>294</v>
      </c>
      <c r="L38" s="140"/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2</v>
      </c>
      <c r="T41" s="152">
        <f>COUNTIFS(E41:N41,1)</f>
        <v>1</v>
      </c>
      <c r="U41" s="152">
        <f>J11+L18+J21+J23+L29+J34+L36</f>
        <v>0</v>
      </c>
      <c r="V41" s="152">
        <f>L11+J18+L21+L23+J29+L34+J36</f>
        <v>7</v>
      </c>
      <c r="W41" s="152">
        <f>Q11+R18+Q21+Q23+R29+Q34+R36</f>
        <v>5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10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11</v>
      </c>
      <c r="V42" s="152">
        <f>J11+L15+J19+L25+L28+L33+J37</f>
        <v>3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4</v>
      </c>
      <c r="R43" s="152">
        <f t="shared" si="2"/>
        <v>2</v>
      </c>
      <c r="S43" s="152">
        <f t="shared" si="3"/>
        <v>0</v>
      </c>
      <c r="T43" s="152">
        <f t="shared" si="4"/>
        <v>2</v>
      </c>
      <c r="U43" s="152">
        <f>J12+L15+J20+L23+J27+J32+L35</f>
        <v>7</v>
      </c>
      <c r="V43" s="152">
        <f>L12+J15+L20+J23+L27+L32+J35</f>
        <v>2</v>
      </c>
      <c r="W43" s="152">
        <f>Q12+R15+Q20+R23+Q27+Q32+R35</f>
        <v>5</v>
      </c>
      <c r="X43" s="129">
        <f t="shared" si="1"/>
        <v>2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4</v>
      </c>
      <c r="R44" s="152">
        <f t="shared" si="2"/>
        <v>1</v>
      </c>
      <c r="S44" s="152">
        <f t="shared" si="3"/>
        <v>2</v>
      </c>
      <c r="T44" s="152">
        <f t="shared" si="4"/>
        <v>1</v>
      </c>
      <c r="U44" s="152">
        <f>L12+J16+J19+L24+J29+L31+L38</f>
        <v>4</v>
      </c>
      <c r="V44" s="152">
        <f>J12+L16+L19+J24+L29+J31+J38</f>
        <v>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6</v>
      </c>
      <c r="W45" s="152">
        <f>Q13+R16+R20+Q26+R30+R34+Q37</f>
        <v>4</v>
      </c>
      <c r="X45" s="129">
        <f t="shared" si="1"/>
        <v>7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7</v>
      </c>
      <c r="Q46" s="152">
        <f t="shared" si="0"/>
        <v>3</v>
      </c>
      <c r="R46" s="152">
        <f t="shared" si="2"/>
        <v>2</v>
      </c>
      <c r="S46" s="152">
        <f t="shared" si="3"/>
        <v>0</v>
      </c>
      <c r="T46" s="152">
        <f t="shared" si="4"/>
        <v>1</v>
      </c>
      <c r="U46" s="152">
        <f>L13+J17+J22+J24+L27+L33+J36</f>
        <v>4</v>
      </c>
      <c r="V46" s="152">
        <f>J13+L17+L22+L24+J27+J33+L36</f>
        <v>0</v>
      </c>
      <c r="W46" s="152">
        <f>R13+Q17+Q22+Q24+R27+R33+Q36</f>
        <v>4</v>
      </c>
      <c r="X46" s="129">
        <f t="shared" si="1"/>
        <v>3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0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2</v>
      </c>
      <c r="Q47" s="152">
        <f t="shared" si="0"/>
        <v>3</v>
      </c>
      <c r="R47" s="152">
        <f t="shared" si="2"/>
        <v>0</v>
      </c>
      <c r="S47" s="152">
        <f t="shared" si="3"/>
        <v>1</v>
      </c>
      <c r="T47" s="152">
        <f t="shared" si="4"/>
        <v>2</v>
      </c>
      <c r="U47" s="152">
        <f>J14+L17+L21+L25+J30+L32+J38</f>
        <v>0</v>
      </c>
      <c r="V47" s="152">
        <f>L14+J17+J21+J25+L30+J32+L38</f>
        <v>3</v>
      </c>
      <c r="W47" s="152">
        <f>Q14+R17+R21+R25+Q30+R32+Q38</f>
        <v>6</v>
      </c>
      <c r="X47" s="129">
        <f t="shared" si="1"/>
        <v>5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6F23A-6F3C-4621-AB10-BE56FAB49EF1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0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0</v>
      </c>
      <c r="M12" s="126" t="str">
        <f>Scheids!$D$12</f>
        <v>Theo Dessens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0</v>
      </c>
      <c r="K13" s="124" t="s">
        <v>294</v>
      </c>
      <c r="L13" s="125">
        <v>4</v>
      </c>
      <c r="M13" s="126" t="str">
        <f>Scheids!$D$12</f>
        <v>Theo Dessens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4</v>
      </c>
      <c r="K14" s="124" t="s">
        <v>294</v>
      </c>
      <c r="L14" s="125">
        <v>0</v>
      </c>
      <c r="M14" s="126" t="str">
        <f>Scheids!$F$12</f>
        <v>Ton Haanappel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0</v>
      </c>
      <c r="K15" s="124" t="s">
        <v>294</v>
      </c>
      <c r="L15" s="125">
        <v>3</v>
      </c>
      <c r="M15" s="126" t="str">
        <f>Scheids!$F$12</f>
        <v>Ton Haanappel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0</v>
      </c>
      <c r="M16" s="126" t="str">
        <f>Scheids!$F$12</f>
        <v>Ton Haanappel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3</v>
      </c>
      <c r="K17" s="124" t="s">
        <v>294</v>
      </c>
      <c r="L17" s="125">
        <v>0</v>
      </c>
      <c r="M17" s="126" t="str">
        <f>Scheids!$D$12</f>
        <v>Theo Dessens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4</v>
      </c>
      <c r="K18" s="124" t="s">
        <v>294</v>
      </c>
      <c r="L18" s="125">
        <v>0</v>
      </c>
      <c r="M18" s="126" t="str">
        <f>Scheids!$D$12</f>
        <v>Theo Dessens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>
        <v>0</v>
      </c>
      <c r="K19" s="124" t="s">
        <v>294</v>
      </c>
      <c r="L19" s="125">
        <v>1</v>
      </c>
      <c r="M19" s="126" t="str">
        <f>Scheids!$D$12</f>
        <v>Theo Dessens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>
        <v>2</v>
      </c>
      <c r="K20" s="124" t="s">
        <v>294</v>
      </c>
      <c r="L20" s="125">
        <v>0</v>
      </c>
      <c r="M20" s="126" t="str">
        <f>Scheids!$F$12</f>
        <v>Ton Haanappel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>
        <v>0</v>
      </c>
      <c r="K21" s="124" t="s">
        <v>294</v>
      </c>
      <c r="L21" s="125">
        <v>0</v>
      </c>
      <c r="M21" s="126" t="str">
        <f>Scheids!$F$12</f>
        <v>Ton Haanappel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>
        <v>2</v>
      </c>
      <c r="K22" s="124" t="s">
        <v>294</v>
      </c>
      <c r="L22" s="125">
        <v>0</v>
      </c>
      <c r="M22" s="126" t="str">
        <f>Scheids!$F$12</f>
        <v>Ton Haanappel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>
        <v>0</v>
      </c>
      <c r="K23" s="124" t="s">
        <v>294</v>
      </c>
      <c r="L23" s="125">
        <v>1</v>
      </c>
      <c r="M23" s="126" t="str">
        <f>Scheids!$D$12</f>
        <v>Theo Dessens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>
        <v>2</v>
      </c>
      <c r="K24" s="124" t="s">
        <v>294</v>
      </c>
      <c r="L24" s="125">
        <v>0</v>
      </c>
      <c r="M24" s="126" t="str">
        <f>Scheids!$D$12</f>
        <v>Theo Dessens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>
        <v>0</v>
      </c>
      <c r="K25" s="124" t="s">
        <v>294</v>
      </c>
      <c r="L25" s="125">
        <v>1</v>
      </c>
      <c r="M25" s="126" t="str">
        <f>Scheids!$D$12</f>
        <v>Theo Dessens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/>
      <c r="K26" s="124" t="s">
        <v>294</v>
      </c>
      <c r="L26" s="125"/>
      <c r="M26" s="126" t="str">
        <f>Scheids!$F$12</f>
        <v>Ton Haanappel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/>
      <c r="K27" s="124" t="s">
        <v>294</v>
      </c>
      <c r="L27" s="125"/>
      <c r="M27" s="126" t="str">
        <f>Scheids!$F$12</f>
        <v>Ton Haanappel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/>
      <c r="K28" s="124" t="s">
        <v>294</v>
      </c>
      <c r="L28" s="125"/>
      <c r="M28" s="126" t="str">
        <f>Scheids!$F$12</f>
        <v>Ton Haanappel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/>
      <c r="K29" s="124" t="s">
        <v>294</v>
      </c>
      <c r="L29" s="125"/>
      <c r="M29" s="126" t="str">
        <f>Scheids!$D$12</f>
        <v>Theo Dessens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/>
      <c r="K30" s="124" t="s">
        <v>294</v>
      </c>
      <c r="L30" s="125"/>
      <c r="M30" s="126" t="str">
        <f>Scheids!$D$12</f>
        <v>Theo Dessens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/>
      <c r="K31" s="124" t="s">
        <v>294</v>
      </c>
      <c r="L31" s="125"/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/>
      <c r="K32" s="124" t="s">
        <v>294</v>
      </c>
      <c r="L32" s="125"/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/>
      <c r="K33" s="124" t="s">
        <v>294</v>
      </c>
      <c r="L33" s="125"/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/>
      <c r="K34" s="124" t="s">
        <v>294</v>
      </c>
      <c r="L34" s="125"/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/>
      <c r="K35" s="124" t="s">
        <v>294</v>
      </c>
      <c r="L35" s="125"/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/>
      <c r="K36" s="124" t="s">
        <v>294</v>
      </c>
      <c r="L36" s="125"/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/>
      <c r="K37" s="124" t="s">
        <v>294</v>
      </c>
      <c r="L37" s="125"/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/>
      <c r="K38" s="139" t="s">
        <v>294</v>
      </c>
      <c r="L38" s="140"/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4</v>
      </c>
      <c r="R41" s="152">
        <f>COUNTIFS(E41:N41,3)</f>
        <v>0</v>
      </c>
      <c r="S41" s="152">
        <f>COUNTIFS(E41:N41,0)</f>
        <v>3</v>
      </c>
      <c r="T41" s="152">
        <f>COUNTIFS(E41:N41,1)</f>
        <v>1</v>
      </c>
      <c r="U41" s="152">
        <f>J11+L18+J21+J23+L29+J34+L36</f>
        <v>0</v>
      </c>
      <c r="V41" s="152">
        <f>L11+J18+L21+L23+J29+L34+J36</f>
        <v>7</v>
      </c>
      <c r="W41" s="152">
        <f>Q11+R18+Q21+Q23+R29+Q34+R36</f>
        <v>5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4</v>
      </c>
      <c r="R42" s="152">
        <f t="shared" ref="R42:R48" si="2">COUNTIFS(E42:N42,3)</f>
        <v>2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4</v>
      </c>
      <c r="W42" s="152">
        <f>R11+Q15+R19+Q25+Q28+Q33+R37</f>
        <v>5</v>
      </c>
      <c r="X42" s="129">
        <f t="shared" si="1"/>
        <v>4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12</v>
      </c>
      <c r="Q43" s="152">
        <f t="shared" si="0"/>
        <v>4</v>
      </c>
      <c r="R43" s="152">
        <f t="shared" si="2"/>
        <v>4</v>
      </c>
      <c r="S43" s="152">
        <f t="shared" si="3"/>
        <v>0</v>
      </c>
      <c r="T43" s="152">
        <f t="shared" si="4"/>
        <v>0</v>
      </c>
      <c r="U43" s="152">
        <f>J12+L15+J20+L23+J27+J32+L35</f>
        <v>7</v>
      </c>
      <c r="V43" s="152">
        <f>L12+J15+L20+J23+L27+L32+J35</f>
        <v>0</v>
      </c>
      <c r="W43" s="152">
        <f>Q12+R15+Q20+R23+Q27+Q32+R35</f>
        <v>6</v>
      </c>
      <c r="X43" s="129">
        <f t="shared" si="1"/>
        <v>1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4</v>
      </c>
      <c r="R44" s="152">
        <f t="shared" si="2"/>
        <v>1</v>
      </c>
      <c r="S44" s="152">
        <f t="shared" si="3"/>
        <v>3</v>
      </c>
      <c r="T44" s="152">
        <f t="shared" si="4"/>
        <v>0</v>
      </c>
      <c r="U44" s="152">
        <f>L12+J16+J19+L24+J29+L31+L38</f>
        <v>1</v>
      </c>
      <c r="V44" s="152">
        <f>J12+L16+L19+J24+L29+J31+J38</f>
        <v>4</v>
      </c>
      <c r="W44" s="152">
        <f>R12+Q16+Q19+R24+Q29+R31+R38</f>
        <v>5</v>
      </c>
      <c r="X44" s="129">
        <f t="shared" si="1"/>
        <v>5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7</v>
      </c>
      <c r="W45" s="152">
        <f>Q13+R16+R20+Q26+R30+R34+Q37</f>
        <v>5</v>
      </c>
      <c r="X45" s="129">
        <f t="shared" si="1"/>
        <v>8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12</v>
      </c>
      <c r="Q46" s="152">
        <f t="shared" si="0"/>
        <v>4</v>
      </c>
      <c r="R46" s="152">
        <f t="shared" si="2"/>
        <v>4</v>
      </c>
      <c r="S46" s="152">
        <f t="shared" si="3"/>
        <v>0</v>
      </c>
      <c r="T46" s="152">
        <f t="shared" si="4"/>
        <v>0</v>
      </c>
      <c r="U46" s="152">
        <f>L13+J17+J22+J24+L27+L33+J36</f>
        <v>11</v>
      </c>
      <c r="V46" s="152">
        <f>J13+L17+L22+L24+J27+J33+L36</f>
        <v>0</v>
      </c>
      <c r="W46" s="152">
        <f>R13+Q17+Q22+Q24+R27+R33+Q36</f>
        <v>5</v>
      </c>
      <c r="X46" s="129">
        <f t="shared" si="1"/>
        <v>1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7</v>
      </c>
      <c r="Q47" s="152">
        <f t="shared" si="0"/>
        <v>4</v>
      </c>
      <c r="R47" s="152">
        <f t="shared" si="2"/>
        <v>2</v>
      </c>
      <c r="S47" s="152">
        <f t="shared" si="3"/>
        <v>1</v>
      </c>
      <c r="T47" s="152">
        <f t="shared" si="4"/>
        <v>1</v>
      </c>
      <c r="U47" s="152">
        <f>J14+L17+L21+L25+J30+L32+J38</f>
        <v>5</v>
      </c>
      <c r="V47" s="152">
        <f>L14+J17+J21+J25+L30+J32+L38</f>
        <v>3</v>
      </c>
      <c r="W47" s="152">
        <f>Q14+R17+R21+R25+Q30+R32+Q38</f>
        <v>6</v>
      </c>
      <c r="X47" s="129">
        <f t="shared" si="1"/>
        <v>3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0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3</v>
      </c>
      <c r="Q48" s="152">
        <f t="shared" si="0"/>
        <v>3</v>
      </c>
      <c r="R48" s="152">
        <f t="shared" si="2"/>
        <v>1</v>
      </c>
      <c r="S48" s="152">
        <f t="shared" si="3"/>
        <v>2</v>
      </c>
      <c r="T48" s="152">
        <f t="shared" si="4"/>
        <v>0</v>
      </c>
      <c r="U48" s="152">
        <f>L14+J18+L22+L26+L28+J31+J35</f>
        <v>4</v>
      </c>
      <c r="V48" s="152">
        <f>J14+L18+J22+J26+J28+L31+L35</f>
        <v>6</v>
      </c>
      <c r="W48" s="152">
        <f>+R14+Q18+R22+R26+R28+Q31+Q35</f>
        <v>5</v>
      </c>
      <c r="X48" s="129">
        <f t="shared" si="1"/>
        <v>5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4A4C-9C8B-4C3A-8829-68FC12EF4329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0</v>
      </c>
      <c r="M11" s="112" t="str">
        <f>Scheids!$D$13</f>
        <v>Ruud Bakas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3</v>
      </c>
      <c r="K12" s="124" t="s">
        <v>294</v>
      </c>
      <c r="L12" s="125">
        <v>0</v>
      </c>
      <c r="M12" s="126" t="str">
        <f>Scheids!$D$13</f>
        <v>Ruud Bakas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3</v>
      </c>
      <c r="K13" s="124" t="s">
        <v>294</v>
      </c>
      <c r="L13" s="125">
        <v>0</v>
      </c>
      <c r="M13" s="126" t="str">
        <f>Scheids!$D$13</f>
        <v>Ruud Bakas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3</v>
      </c>
      <c r="M14" s="126" t="str">
        <f>Scheids!$F$13</f>
        <v>Gennaro vd Kan</v>
      </c>
      <c r="N14" s="127"/>
      <c r="O14" s="128"/>
      <c r="Q14" s="129">
        <v>1</v>
      </c>
      <c r="R14" s="129">
        <v>1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0</v>
      </c>
      <c r="K15" s="124" t="s">
        <v>294</v>
      </c>
      <c r="L15" s="125">
        <v>4</v>
      </c>
      <c r="M15" s="126" t="str">
        <f>Scheids!$F$13</f>
        <v>Gennaro vd Kan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0</v>
      </c>
      <c r="K16" s="124" t="s">
        <v>294</v>
      </c>
      <c r="L16" s="125">
        <v>0</v>
      </c>
      <c r="M16" s="126" t="str">
        <f>Scheids!$F$13</f>
        <v>Gennaro vd Kan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0</v>
      </c>
      <c r="K17" s="124" t="s">
        <v>294</v>
      </c>
      <c r="L17" s="125">
        <v>0</v>
      </c>
      <c r="M17" s="126" t="str">
        <f>Scheids!$D$13</f>
        <v>Ruud Bakas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3</v>
      </c>
      <c r="K18" s="124" t="s">
        <v>294</v>
      </c>
      <c r="L18" s="125">
        <v>0</v>
      </c>
      <c r="M18" s="126" t="str">
        <f>Scheids!$D$13</f>
        <v>Ruud Bakas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>
        <v>0</v>
      </c>
      <c r="K19" s="124" t="s">
        <v>294</v>
      </c>
      <c r="L19" s="125">
        <v>1</v>
      </c>
      <c r="M19" s="126" t="str">
        <f>Scheids!$D$13</f>
        <v>Ruud Bakas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>
        <v>0</v>
      </c>
      <c r="K20" s="124" t="s">
        <v>294</v>
      </c>
      <c r="L20" s="125">
        <v>2</v>
      </c>
      <c r="M20" s="126" t="str">
        <f>Scheids!$F$13</f>
        <v>Gennaro vd Kan</v>
      </c>
      <c r="N20" s="127"/>
      <c r="O20" s="128"/>
      <c r="Q20" s="129">
        <v>1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>
        <v>2</v>
      </c>
      <c r="K21" s="124" t="s">
        <v>294</v>
      </c>
      <c r="L21" s="125">
        <v>0</v>
      </c>
      <c r="M21" s="126" t="str">
        <f>Scheids!$F$13</f>
        <v>Gennaro vd Kan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>
        <v>1</v>
      </c>
      <c r="K22" s="124" t="s">
        <v>294</v>
      </c>
      <c r="L22" s="125">
        <v>2</v>
      </c>
      <c r="M22" s="126" t="str">
        <f>Scheids!$F$13</f>
        <v>Gennaro vd Kan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>
        <v>0</v>
      </c>
      <c r="K23" s="124" t="s">
        <v>294</v>
      </c>
      <c r="L23" s="125">
        <v>6</v>
      </c>
      <c r="M23" s="126" t="str">
        <f>Scheids!$D$13</f>
        <v>Ruud Bakas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>
        <v>3</v>
      </c>
      <c r="K24" s="124" t="s">
        <v>294</v>
      </c>
      <c r="L24" s="125">
        <v>0</v>
      </c>
      <c r="M24" s="126" t="str">
        <f>Scheids!$D$13</f>
        <v>Ruud Bakas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>
        <v>0</v>
      </c>
      <c r="K25" s="124" t="s">
        <v>294</v>
      </c>
      <c r="L25" s="125">
        <v>2</v>
      </c>
      <c r="M25" s="126" t="str">
        <f>Scheids!$D$13</f>
        <v>Ruud Bakas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/>
      <c r="K26" s="124" t="s">
        <v>294</v>
      </c>
      <c r="L26" s="125"/>
      <c r="M26" s="126" t="str">
        <f>Scheids!$F$13</f>
        <v>Gennaro vd Kan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/>
      <c r="K27" s="124" t="s">
        <v>294</v>
      </c>
      <c r="L27" s="125"/>
      <c r="M27" s="126" t="str">
        <f>Scheids!$F$13</f>
        <v>Gennaro vd Kan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/>
      <c r="K28" s="124" t="s">
        <v>294</v>
      </c>
      <c r="L28" s="125"/>
      <c r="M28" s="126" t="str">
        <f>Scheids!$F$13</f>
        <v>Gennaro vd Kan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/>
      <c r="K29" s="124" t="s">
        <v>294</v>
      </c>
      <c r="L29" s="125"/>
      <c r="M29" s="126" t="str">
        <f>Scheids!$D$13</f>
        <v>Ruud Bakas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/>
      <c r="K30" s="124" t="s">
        <v>294</v>
      </c>
      <c r="L30" s="125"/>
      <c r="M30" s="126" t="str">
        <f>Scheids!$D$13</f>
        <v>Ruud Bakas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/>
      <c r="K31" s="124" t="s">
        <v>294</v>
      </c>
      <c r="L31" s="125"/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/>
      <c r="K32" s="124" t="s">
        <v>294</v>
      </c>
      <c r="L32" s="125"/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/>
      <c r="K33" s="124" t="s">
        <v>294</v>
      </c>
      <c r="L33" s="125"/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/>
      <c r="K34" s="124" t="s">
        <v>294</v>
      </c>
      <c r="L34" s="125"/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/>
      <c r="K35" s="124" t="s">
        <v>294</v>
      </c>
      <c r="L35" s="125"/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/>
      <c r="K36" s="124" t="s">
        <v>294</v>
      </c>
      <c r="L36" s="125"/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/>
      <c r="K37" s="124" t="s">
        <v>294</v>
      </c>
      <c r="L37" s="125"/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/>
      <c r="K38" s="139" t="s">
        <v>294</v>
      </c>
      <c r="L38" s="140"/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4</v>
      </c>
      <c r="R41" s="152">
        <f>COUNTIFS(E41:N41,3)</f>
        <v>2</v>
      </c>
      <c r="S41" s="152">
        <f>COUNTIFS(E41:N41,0)</f>
        <v>2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9</v>
      </c>
      <c r="W41" s="152">
        <f>Q11+R18+Q21+Q23+R29+Q34+R36</f>
        <v>7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7</v>
      </c>
      <c r="W42" s="152">
        <f>R11+Q15+R19+Q25+Q28+Q33+R37</f>
        <v>7</v>
      </c>
      <c r="X42" s="129">
        <f t="shared" si="1"/>
        <v>7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9</v>
      </c>
      <c r="Q43" s="152">
        <f t="shared" si="0"/>
        <v>4</v>
      </c>
      <c r="R43" s="152">
        <f t="shared" si="2"/>
        <v>3</v>
      </c>
      <c r="S43" s="152">
        <f t="shared" si="3"/>
        <v>1</v>
      </c>
      <c r="T43" s="152">
        <f t="shared" si="4"/>
        <v>0</v>
      </c>
      <c r="U43" s="152">
        <f>J12+L15+J20+L23+J27+J32+L35</f>
        <v>13</v>
      </c>
      <c r="V43" s="152">
        <f>L12+J15+L20+J23+L27+L32+J35</f>
        <v>2</v>
      </c>
      <c r="W43" s="152">
        <f>Q12+R15+Q20+R23+Q27+Q32+R35</f>
        <v>6</v>
      </c>
      <c r="X43" s="129">
        <f t="shared" si="1"/>
        <v>1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4</v>
      </c>
      <c r="R44" s="152">
        <f t="shared" si="2"/>
        <v>0</v>
      </c>
      <c r="S44" s="152">
        <f t="shared" si="3"/>
        <v>3</v>
      </c>
      <c r="T44" s="152">
        <f t="shared" si="4"/>
        <v>1</v>
      </c>
      <c r="U44" s="152">
        <f>L12+J16+J19+L24+J29+L31+L38</f>
        <v>0</v>
      </c>
      <c r="V44" s="152">
        <f>J12+L16+L19+J24+L29+J31+J38</f>
        <v>7</v>
      </c>
      <c r="W44" s="152">
        <f>R12+Q16+Q19+R24+Q29+R31+R38</f>
        <v>7</v>
      </c>
      <c r="X44" s="129">
        <f t="shared" si="1"/>
        <v>8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3</v>
      </c>
      <c r="R45" s="152">
        <f t="shared" si="2"/>
        <v>2</v>
      </c>
      <c r="S45" s="152">
        <f t="shared" si="3"/>
        <v>0</v>
      </c>
      <c r="T45" s="152">
        <f t="shared" si="4"/>
        <v>1</v>
      </c>
      <c r="U45" s="152">
        <f>J13+L16+L20+J26+L30+L34+J37</f>
        <v>5</v>
      </c>
      <c r="V45" s="152">
        <f>L13+J16+J20+L26+J30+J34+L37</f>
        <v>0</v>
      </c>
      <c r="W45" s="152">
        <f>Q13+R16+R20+Q26+R30+R34+Q37</f>
        <v>5</v>
      </c>
      <c r="X45" s="129">
        <f t="shared" si="1"/>
        <v>3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1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4</v>
      </c>
      <c r="R46" s="152">
        <f t="shared" si="2"/>
        <v>1</v>
      </c>
      <c r="S46" s="152">
        <f t="shared" si="3"/>
        <v>2</v>
      </c>
      <c r="T46" s="152">
        <f t="shared" si="4"/>
        <v>1</v>
      </c>
      <c r="U46" s="152">
        <f>L13+J17+J22+J24+L27+L33+J36</f>
        <v>4</v>
      </c>
      <c r="V46" s="152">
        <f>J13+L17+L22+L24+J27+J33+L36</f>
        <v>5</v>
      </c>
      <c r="W46" s="152">
        <f>R13+Q17+Q22+Q24+R27+R33+Q36</f>
        <v>7</v>
      </c>
      <c r="X46" s="129">
        <f t="shared" si="1"/>
        <v>5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4</v>
      </c>
      <c r="Q47" s="152">
        <f t="shared" si="0"/>
        <v>4</v>
      </c>
      <c r="R47" s="152">
        <f t="shared" si="2"/>
        <v>1</v>
      </c>
      <c r="S47" s="152">
        <f t="shared" si="3"/>
        <v>2</v>
      </c>
      <c r="T47" s="152">
        <f t="shared" si="4"/>
        <v>1</v>
      </c>
      <c r="U47" s="152">
        <f>J14+L17+L21+L25+J30+L32+J38</f>
        <v>3</v>
      </c>
      <c r="V47" s="152">
        <f>L14+J17+J21+J25+L30+J32+L38</f>
        <v>5</v>
      </c>
      <c r="W47" s="152">
        <f>Q14+R17+R21+R25+Q30+R32+Q38</f>
        <v>6</v>
      </c>
      <c r="X47" s="129">
        <f t="shared" si="1"/>
        <v>5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9</v>
      </c>
      <c r="Q48" s="152">
        <f t="shared" si="0"/>
        <v>3</v>
      </c>
      <c r="R48" s="152">
        <f t="shared" si="2"/>
        <v>3</v>
      </c>
      <c r="S48" s="152">
        <f t="shared" si="3"/>
        <v>0</v>
      </c>
      <c r="T48" s="152">
        <f t="shared" si="4"/>
        <v>0</v>
      </c>
      <c r="U48" s="152">
        <f>L14+J18+L22+L26+L28+J31+J35</f>
        <v>8</v>
      </c>
      <c r="V48" s="152">
        <f>J14+L18+J22+J26+J28+L31+L35</f>
        <v>2</v>
      </c>
      <c r="W48" s="152">
        <f>+R14+Q18+R22+R26+R28+Q31+Q35</f>
        <v>5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59B4-D9F8-4407-9828-E1A4B0D46745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3</v>
      </c>
      <c r="K11" s="110" t="s">
        <v>294</v>
      </c>
      <c r="L11" s="111">
        <v>0</v>
      </c>
      <c r="M11" s="112" t="str">
        <f>Scheids!$D$14</f>
        <v>Rob Staakman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0</v>
      </c>
      <c r="K12" s="124" t="s">
        <v>294</v>
      </c>
      <c r="L12" s="125">
        <v>1</v>
      </c>
      <c r="M12" s="126" t="str">
        <f>Scheids!$D$14</f>
        <v>Rob Staakman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0</v>
      </c>
      <c r="K13" s="124" t="s">
        <v>294</v>
      </c>
      <c r="L13" s="125">
        <v>1</v>
      </c>
      <c r="M13" s="126" t="str">
        <f>Scheids!$D$14</f>
        <v>Rob Staakman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0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0</v>
      </c>
      <c r="K15" s="124" t="s">
        <v>294</v>
      </c>
      <c r="L15" s="125">
        <v>3</v>
      </c>
      <c r="M15" s="126" t="str">
        <f>Scheids!$F$14</f>
        <v>Jack Altena</v>
      </c>
      <c r="N15" s="127"/>
      <c r="O15" s="128"/>
      <c r="Q15" s="129">
        <v>0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0</v>
      </c>
      <c r="M16" s="126" t="str">
        <f>Scheids!$F$14</f>
        <v>Jack Altena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0</v>
      </c>
      <c r="K17" s="124" t="s">
        <v>294</v>
      </c>
      <c r="L17" s="125">
        <v>1</v>
      </c>
      <c r="M17" s="126" t="str">
        <f>Scheids!$D$14</f>
        <v>Rob Staakman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4</v>
      </c>
      <c r="K18" s="124" t="s">
        <v>294</v>
      </c>
      <c r="L18" s="125">
        <v>0</v>
      </c>
      <c r="M18" s="126" t="str">
        <f>Scheids!$D$14</f>
        <v>Rob Staakman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>
        <v>3</v>
      </c>
      <c r="K19" s="124" t="s">
        <v>294</v>
      </c>
      <c r="L19" s="125">
        <v>0</v>
      </c>
      <c r="M19" s="126" t="str">
        <f>Scheids!$D$14</f>
        <v>Rob Staakman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>
        <v>0</v>
      </c>
      <c r="K20" s="124" t="s">
        <v>294</v>
      </c>
      <c r="L20" s="125">
        <v>0</v>
      </c>
      <c r="M20" s="126" t="str">
        <f>Scheids!$F$14</f>
        <v>Jack Altena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>
        <v>1</v>
      </c>
      <c r="K21" s="124" t="s">
        <v>294</v>
      </c>
      <c r="L21" s="125">
        <v>0</v>
      </c>
      <c r="M21" s="126" t="str">
        <f>Scheids!$F$14</f>
        <v>Jack Altena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>
        <v>0</v>
      </c>
      <c r="K22" s="124" t="s">
        <v>294</v>
      </c>
      <c r="L22" s="125">
        <v>1</v>
      </c>
      <c r="M22" s="126" t="str">
        <f>Scheids!$F$14</f>
        <v>Jack Altena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>
        <v>2</v>
      </c>
      <c r="K23" s="124" t="s">
        <v>294</v>
      </c>
      <c r="L23" s="125">
        <v>1</v>
      </c>
      <c r="M23" s="126" t="str">
        <f>Scheids!$D$14</f>
        <v>Rob Staakman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>
        <v>0</v>
      </c>
      <c r="K24" s="124" t="s">
        <v>294</v>
      </c>
      <c r="L24" s="125">
        <v>1</v>
      </c>
      <c r="M24" s="126" t="str">
        <f>Scheids!$D$14</f>
        <v>Rob Staakman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>
        <v>0</v>
      </c>
      <c r="K25" s="124" t="s">
        <v>294</v>
      </c>
      <c r="L25" s="125">
        <v>3</v>
      </c>
      <c r="M25" s="126" t="str">
        <f>Scheids!$D$14</f>
        <v>Rob Staakman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/>
      <c r="K26" s="124" t="s">
        <v>294</v>
      </c>
      <c r="L26" s="125"/>
      <c r="M26" s="126" t="str">
        <f>Scheids!$F$14</f>
        <v>Jack Altena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/>
      <c r="K27" s="124" t="s">
        <v>294</v>
      </c>
      <c r="L27" s="125"/>
      <c r="M27" s="126" t="str">
        <f>Scheids!$F$14</f>
        <v>Jack Altena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/>
      <c r="K28" s="124" t="s">
        <v>294</v>
      </c>
      <c r="L28" s="125"/>
      <c r="M28" s="126" t="str">
        <f>Scheids!$F$14</f>
        <v>Jack Altena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/>
      <c r="K29" s="124" t="s">
        <v>294</v>
      </c>
      <c r="L29" s="125"/>
      <c r="M29" s="126" t="str">
        <f>Scheids!$D$14</f>
        <v>Rob Staakman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/>
      <c r="K30" s="124" t="s">
        <v>294</v>
      </c>
      <c r="L30" s="125"/>
      <c r="M30" s="126" t="str">
        <f>Scheids!$D$14</f>
        <v>Rob Staakman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/>
      <c r="K31" s="124" t="s">
        <v>294</v>
      </c>
      <c r="L31" s="125"/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/>
      <c r="K32" s="124" t="s">
        <v>294</v>
      </c>
      <c r="L32" s="125"/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/>
      <c r="K33" s="124" t="s">
        <v>294</v>
      </c>
      <c r="L33" s="125"/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/>
      <c r="K34" s="124" t="s">
        <v>294</v>
      </c>
      <c r="L34" s="125"/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/>
      <c r="K35" s="124" t="s">
        <v>294</v>
      </c>
      <c r="L35" s="125"/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/>
      <c r="K36" s="124" t="s">
        <v>294</v>
      </c>
      <c r="L36" s="125"/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/>
      <c r="K37" s="124" t="s">
        <v>294</v>
      </c>
      <c r="L37" s="125"/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/>
      <c r="K38" s="139" t="s">
        <v>294</v>
      </c>
      <c r="L38" s="140"/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9</v>
      </c>
      <c r="Q41" s="152">
        <f t="shared" ref="Q41:Q48" si="0">COUNT(E41:N41)</f>
        <v>4</v>
      </c>
      <c r="R41" s="152">
        <f>COUNTIFS(E41:N41,3)</f>
        <v>3</v>
      </c>
      <c r="S41" s="152">
        <f>COUNTIFS(E41:N41,0)</f>
        <v>1</v>
      </c>
      <c r="T41" s="152">
        <f>COUNTIFS(E41:N41,1)</f>
        <v>0</v>
      </c>
      <c r="U41" s="152">
        <f>J11+L18+J21+J23+L29+J34+L36</f>
        <v>6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4</v>
      </c>
      <c r="R42" s="152">
        <f t="shared" ref="R42:R48" si="2">COUNTIFS(E42:N42,3)</f>
        <v>0</v>
      </c>
      <c r="S42" s="152">
        <f t="shared" ref="S42:S48" si="3">COUNTIFS(E42:N42,0)</f>
        <v>4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12</v>
      </c>
      <c r="W42" s="152">
        <f>R11+Q15+R19+Q25+Q28+Q33+R37</f>
        <v>4</v>
      </c>
      <c r="X42" s="129">
        <f t="shared" si="1"/>
        <v>8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4</v>
      </c>
      <c r="R43" s="152">
        <f t="shared" si="2"/>
        <v>1</v>
      </c>
      <c r="S43" s="152">
        <f t="shared" si="3"/>
        <v>2</v>
      </c>
      <c r="T43" s="152">
        <f t="shared" si="4"/>
        <v>1</v>
      </c>
      <c r="U43" s="152">
        <f>J12+L15+J20+L23+J27+J32+L35</f>
        <v>4</v>
      </c>
      <c r="V43" s="152">
        <f>L12+J15+L20+J23+L27+L32+J35</f>
        <v>3</v>
      </c>
      <c r="W43" s="152">
        <f>Q12+R15+Q20+R23+Q27+Q32+R35</f>
        <v>6</v>
      </c>
      <c r="X43" s="129">
        <f t="shared" si="1"/>
        <v>5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12</v>
      </c>
      <c r="Q44" s="152">
        <f t="shared" si="0"/>
        <v>4</v>
      </c>
      <c r="R44" s="152">
        <f t="shared" si="2"/>
        <v>4</v>
      </c>
      <c r="S44" s="152">
        <f t="shared" si="3"/>
        <v>0</v>
      </c>
      <c r="T44" s="152">
        <f t="shared" si="4"/>
        <v>0</v>
      </c>
      <c r="U44" s="152">
        <f>L12+J16+J19+L24+J29+L31+L38</f>
        <v>6</v>
      </c>
      <c r="V44" s="152">
        <f>J12+L16+L19+J24+L29+J31+J38</f>
        <v>0</v>
      </c>
      <c r="W44" s="152">
        <f>R12+Q16+Q19+R24+Q29+R31+R38</f>
        <v>6</v>
      </c>
      <c r="X44" s="129">
        <f t="shared" si="1"/>
        <v>1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3</v>
      </c>
      <c r="R45" s="152">
        <f t="shared" si="2"/>
        <v>0</v>
      </c>
      <c r="S45" s="152">
        <f t="shared" si="3"/>
        <v>2</v>
      </c>
      <c r="T45" s="152">
        <f t="shared" si="4"/>
        <v>1</v>
      </c>
      <c r="U45" s="152">
        <f>J13+L16+L20+J26+L30+L34+J37</f>
        <v>0</v>
      </c>
      <c r="V45" s="152">
        <f>L13+J16+J20+L26+J30+J34+L37</f>
        <v>2</v>
      </c>
      <c r="W45" s="152">
        <f>Q13+R16+R20+Q26+R30+R34+Q37</f>
        <v>4</v>
      </c>
      <c r="X45" s="129">
        <f t="shared" si="1"/>
        <v>7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0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4</v>
      </c>
      <c r="R46" s="152">
        <f t="shared" si="2"/>
        <v>1</v>
      </c>
      <c r="S46" s="152">
        <f t="shared" si="3"/>
        <v>3</v>
      </c>
      <c r="T46" s="152">
        <f t="shared" si="4"/>
        <v>0</v>
      </c>
      <c r="U46" s="152">
        <f>L13+J17+J22+J24+L27+L33+J36</f>
        <v>1</v>
      </c>
      <c r="V46" s="152">
        <f>J13+L17+L22+L24+J27+J33+L36</f>
        <v>3</v>
      </c>
      <c r="W46" s="152">
        <f>R13+Q17+Q22+Q24+R27+R33+Q36</f>
        <v>7</v>
      </c>
      <c r="X46" s="129">
        <f t="shared" si="1"/>
        <v>6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4</v>
      </c>
      <c r="R47" s="152">
        <f t="shared" si="2"/>
        <v>2</v>
      </c>
      <c r="S47" s="152">
        <f t="shared" si="3"/>
        <v>2</v>
      </c>
      <c r="T47" s="152">
        <f t="shared" si="4"/>
        <v>0</v>
      </c>
      <c r="U47" s="152">
        <f>J14+L17+L21+L25+J30+L32+J38</f>
        <v>4</v>
      </c>
      <c r="V47" s="152">
        <f>L14+J17+J21+J25+L30+J32+L38</f>
        <v>3</v>
      </c>
      <c r="W47" s="152">
        <f>Q14+R17+R21+R25+Q30+R32+Q38</f>
        <v>8</v>
      </c>
      <c r="X47" s="129">
        <f t="shared" si="1"/>
        <v>4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9</v>
      </c>
      <c r="Q48" s="152">
        <f t="shared" si="0"/>
        <v>3</v>
      </c>
      <c r="R48" s="152">
        <f t="shared" si="2"/>
        <v>3</v>
      </c>
      <c r="S48" s="152">
        <f t="shared" si="3"/>
        <v>0</v>
      </c>
      <c r="T48" s="152">
        <f t="shared" si="4"/>
        <v>0</v>
      </c>
      <c r="U48" s="152">
        <f>L14+J18+L22+L26+L28+J31+J35</f>
        <v>7</v>
      </c>
      <c r="V48" s="152">
        <f>J14+L18+J22+J26+J28+L31+L35</f>
        <v>0</v>
      </c>
      <c r="W48" s="152">
        <f>+R14+Q18+R22+R26+R28+Q31+Q35</f>
        <v>6</v>
      </c>
      <c r="X48" s="129">
        <f t="shared" si="1"/>
        <v>2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46ED-E608-4DD6-B11A-CF17FA01AAEA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3</v>
      </c>
      <c r="K11" s="110" t="s">
        <v>294</v>
      </c>
      <c r="L11" s="111">
        <v>0</v>
      </c>
      <c r="M11" s="112" t="str">
        <f>Scheids!$D$15</f>
        <v>Rien Beenen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0</v>
      </c>
      <c r="M12" s="126" t="str">
        <f>Scheids!$D$15</f>
        <v>Rien Beenen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0</v>
      </c>
      <c r="K13" s="124" t="s">
        <v>294</v>
      </c>
      <c r="L13" s="125">
        <v>0</v>
      </c>
      <c r="M13" s="126" t="str">
        <f>Scheids!$D$15</f>
        <v>Rien Beenen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0</v>
      </c>
      <c r="M14" s="126" t="str">
        <f>Scheids!$F$15</f>
        <v>Anita Schouten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0</v>
      </c>
      <c r="M15" s="126" t="str">
        <f>Scheids!$F$15</f>
        <v>Anita Schouten</v>
      </c>
      <c r="N15" s="127"/>
      <c r="O15" s="128"/>
      <c r="Q15" s="129">
        <v>2</v>
      </c>
      <c r="R15" s="129">
        <v>0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0</v>
      </c>
      <c r="K16" s="124" t="s">
        <v>294</v>
      </c>
      <c r="L16" s="125">
        <v>1</v>
      </c>
      <c r="M16" s="126" t="str">
        <f>Scheids!$F$15</f>
        <v>Anita Schouten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0</v>
      </c>
      <c r="M17" s="126" t="str">
        <f>Scheids!$D$15</f>
        <v>Rien Beenen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0</v>
      </c>
      <c r="K18" s="124" t="s">
        <v>294</v>
      </c>
      <c r="L18" s="125">
        <v>4</v>
      </c>
      <c r="M18" s="126" t="str">
        <f>Scheids!$D$15</f>
        <v>Rien Beenen</v>
      </c>
      <c r="N18" s="127"/>
      <c r="O18" s="128"/>
      <c r="Q18" s="129">
        <v>0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>
        <v>1</v>
      </c>
      <c r="K19" s="124" t="s">
        <v>294</v>
      </c>
      <c r="L19" s="125">
        <v>1</v>
      </c>
      <c r="M19" s="126" t="str">
        <f>Scheids!$D$15</f>
        <v>Rien Beenen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>
        <v>0</v>
      </c>
      <c r="K20" s="124" t="s">
        <v>294</v>
      </c>
      <c r="L20" s="125">
        <v>0</v>
      </c>
      <c r="M20" s="126" t="str">
        <f>Scheids!$F$15</f>
        <v>Anita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>
        <v>1</v>
      </c>
      <c r="K21" s="124" t="s">
        <v>294</v>
      </c>
      <c r="L21" s="125">
        <v>0</v>
      </c>
      <c r="M21" s="126" t="str">
        <f>Scheids!$F$15</f>
        <v>Anita Schouten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>
        <v>0</v>
      </c>
      <c r="K22" s="124" t="s">
        <v>294</v>
      </c>
      <c r="L22" s="125">
        <v>0</v>
      </c>
      <c r="M22" s="126" t="str">
        <f>Scheids!$F$15</f>
        <v>Anita Schouten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>
        <v>2</v>
      </c>
      <c r="K23" s="124" t="s">
        <v>294</v>
      </c>
      <c r="L23" s="125">
        <v>0</v>
      </c>
      <c r="M23" s="126" t="str">
        <f>Scheids!$D$15</f>
        <v>Rien Beenen</v>
      </c>
      <c r="N23" s="127"/>
      <c r="O23" s="128"/>
      <c r="Q23" s="129">
        <v>2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>
        <v>2</v>
      </c>
      <c r="K24" s="124" t="s">
        <v>294</v>
      </c>
      <c r="L24" s="125">
        <v>0</v>
      </c>
      <c r="M24" s="126" t="str">
        <f>Scheids!$D$15</f>
        <v>Rien Beenen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>
        <v>0</v>
      </c>
      <c r="K25" s="124" t="s">
        <v>294</v>
      </c>
      <c r="L25" s="125">
        <v>1</v>
      </c>
      <c r="M25" s="126" t="str">
        <f>Scheids!$D$15</f>
        <v>Rien Beenen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/>
      <c r="K26" s="124" t="s">
        <v>294</v>
      </c>
      <c r="L26" s="125"/>
      <c r="M26" s="126" t="str">
        <f>Scheids!$F$15</f>
        <v>Anita Schouten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/>
      <c r="K27" s="124" t="s">
        <v>294</v>
      </c>
      <c r="L27" s="125"/>
      <c r="M27" s="126" t="str">
        <f>Scheids!$F$15</f>
        <v>Anita Schouten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/>
      <c r="K28" s="124" t="s">
        <v>294</v>
      </c>
      <c r="L28" s="125"/>
      <c r="M28" s="126" t="str">
        <f>Scheids!$F$15</f>
        <v>Anita Schouten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/>
      <c r="K29" s="124" t="s">
        <v>294</v>
      </c>
      <c r="L29" s="125"/>
      <c r="M29" s="126" t="str">
        <f>Scheids!$D$15</f>
        <v>Rien Beenen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/>
      <c r="K30" s="124" t="s">
        <v>294</v>
      </c>
      <c r="L30" s="125"/>
      <c r="M30" s="126" t="str">
        <f>Scheids!$D$15</f>
        <v>Rien Beenen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/>
      <c r="K31" s="124" t="s">
        <v>294</v>
      </c>
      <c r="L31" s="125"/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/>
      <c r="K32" s="124" t="s">
        <v>294</v>
      </c>
      <c r="L32" s="125"/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/>
      <c r="K33" s="124" t="s">
        <v>294</v>
      </c>
      <c r="L33" s="125"/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/>
      <c r="K34" s="124" t="s">
        <v>294</v>
      </c>
      <c r="L34" s="125"/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/>
      <c r="K35" s="124" t="s">
        <v>294</v>
      </c>
      <c r="L35" s="125"/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/>
      <c r="K36" s="124" t="s">
        <v>294</v>
      </c>
      <c r="L36" s="125"/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/>
      <c r="K37" s="124" t="s">
        <v>294</v>
      </c>
      <c r="L37" s="125"/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/>
      <c r="K38" s="139" t="s">
        <v>294</v>
      </c>
      <c r="L38" s="140"/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12</v>
      </c>
      <c r="Q41" s="152">
        <f t="shared" ref="Q41:Q48" si="0">COUNT(E41:N41)</f>
        <v>4</v>
      </c>
      <c r="R41" s="152">
        <f>COUNTIFS(E41:N41,3)</f>
        <v>4</v>
      </c>
      <c r="S41" s="152">
        <f>COUNTIFS(E41:N41,0)</f>
        <v>0</v>
      </c>
      <c r="T41" s="152">
        <f>COUNTIFS(E41:N41,1)</f>
        <v>0</v>
      </c>
      <c r="U41" s="152">
        <f>J11+L18+J21+J23+L29+J34+L36</f>
        <v>10</v>
      </c>
      <c r="V41" s="152">
        <f>L11+J18+L21+L23+J29+L34+J36</f>
        <v>0</v>
      </c>
      <c r="W41" s="152">
        <f>Q11+R18+Q21+Q23+R29+Q34+R36</f>
        <v>8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0</v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4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2</v>
      </c>
      <c r="V42" s="152">
        <f>J11+L15+J19+L25+L28+L33+J37</f>
        <v>5</v>
      </c>
      <c r="W42" s="152">
        <f>R11+Q15+R19+Q25+Q28+Q33+R37</f>
        <v>7</v>
      </c>
      <c r="X42" s="129">
        <f t="shared" si="1"/>
        <v>5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4</v>
      </c>
      <c r="R43" s="152">
        <f t="shared" si="2"/>
        <v>1</v>
      </c>
      <c r="S43" s="152">
        <f t="shared" si="3"/>
        <v>2</v>
      </c>
      <c r="T43" s="152">
        <f t="shared" si="4"/>
        <v>1</v>
      </c>
      <c r="U43" s="152">
        <f>J12+L15+J20+L23+J27+J32+L35</f>
        <v>1</v>
      </c>
      <c r="V43" s="152">
        <f>L12+J15+L20+J23+L27+L32+J35</f>
        <v>3</v>
      </c>
      <c r="W43" s="152">
        <f>Q12+R15+Q20+R23+Q27+Q32+R35</f>
        <v>4</v>
      </c>
      <c r="X43" s="129">
        <f t="shared" si="1"/>
        <v>5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4</v>
      </c>
      <c r="R44" s="152">
        <f t="shared" si="2"/>
        <v>0</v>
      </c>
      <c r="S44" s="152">
        <f t="shared" si="3"/>
        <v>3</v>
      </c>
      <c r="T44" s="152">
        <f t="shared" si="4"/>
        <v>1</v>
      </c>
      <c r="U44" s="152">
        <f>L12+J16+J19+L24+J29+L31+L38</f>
        <v>1</v>
      </c>
      <c r="V44" s="152">
        <f>J12+L16+L19+J24+L29+J31+J38</f>
        <v>5</v>
      </c>
      <c r="W44" s="152">
        <f>R12+Q16+Q19+R24+Q29+R31+R38</f>
        <v>8</v>
      </c>
      <c r="X44" s="129">
        <f t="shared" si="1"/>
        <v>7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5</v>
      </c>
      <c r="Q45" s="152">
        <f t="shared" si="0"/>
        <v>3</v>
      </c>
      <c r="R45" s="152">
        <f t="shared" si="2"/>
        <v>1</v>
      </c>
      <c r="S45" s="152">
        <f t="shared" si="3"/>
        <v>0</v>
      </c>
      <c r="T45" s="152">
        <f t="shared" si="4"/>
        <v>2</v>
      </c>
      <c r="U45" s="152">
        <f>J13+L16+L20+J26+L30+L34+J37</f>
        <v>1</v>
      </c>
      <c r="V45" s="152">
        <f>L13+J16+J20+L26+J30+J34+L37</f>
        <v>0</v>
      </c>
      <c r="W45" s="152">
        <f>Q13+R16+R20+Q26+R30+R34+Q37</f>
        <v>5</v>
      </c>
      <c r="X45" s="129">
        <f t="shared" si="1"/>
        <v>4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3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8</v>
      </c>
      <c r="Q46" s="152">
        <f t="shared" si="0"/>
        <v>4</v>
      </c>
      <c r="R46" s="152">
        <f t="shared" si="2"/>
        <v>2</v>
      </c>
      <c r="S46" s="152">
        <f t="shared" si="3"/>
        <v>0</v>
      </c>
      <c r="T46" s="152">
        <f t="shared" si="4"/>
        <v>2</v>
      </c>
      <c r="U46" s="152">
        <f>L13+J17+J22+J24+L27+L33+J36</f>
        <v>3</v>
      </c>
      <c r="V46" s="152">
        <f>J13+L17+L22+L24+J27+J33+L36</f>
        <v>0</v>
      </c>
      <c r="W46" s="152">
        <f>R13+Q17+Q22+Q24+R27+R33+Q36</f>
        <v>6</v>
      </c>
      <c r="X46" s="129">
        <f t="shared" si="1"/>
        <v>2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4</v>
      </c>
      <c r="R47" s="152">
        <f t="shared" si="2"/>
        <v>2</v>
      </c>
      <c r="S47" s="152">
        <f t="shared" si="3"/>
        <v>2</v>
      </c>
      <c r="T47" s="152">
        <f t="shared" si="4"/>
        <v>0</v>
      </c>
      <c r="U47" s="152">
        <f>J14+L17+L21+L25+J30+L32+J38</f>
        <v>2</v>
      </c>
      <c r="V47" s="152">
        <f>L14+J17+J21+J25+L30+J32+L38</f>
        <v>2</v>
      </c>
      <c r="W47" s="152">
        <f>Q14+R17+R21+R25+Q30+R32+Q38</f>
        <v>6</v>
      </c>
      <c r="X47" s="129">
        <f t="shared" si="1"/>
        <v>3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1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</v>
      </c>
      <c r="Q48" s="152">
        <f t="shared" si="0"/>
        <v>3</v>
      </c>
      <c r="R48" s="152">
        <f t="shared" si="2"/>
        <v>0</v>
      </c>
      <c r="S48" s="152">
        <f t="shared" si="3"/>
        <v>2</v>
      </c>
      <c r="T48" s="152">
        <f t="shared" si="4"/>
        <v>1</v>
      </c>
      <c r="U48" s="152">
        <f>L14+J18+L22+L26+L28+J31+J35</f>
        <v>0</v>
      </c>
      <c r="V48" s="152">
        <f>J14+L18+J22+J26+J28+L31+L35</f>
        <v>5</v>
      </c>
      <c r="W48" s="152">
        <f>+R14+Q18+R22+R26+R28+Q31+Q35</f>
        <v>4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E484D-5ABB-4FBF-A5D7-91640B64091E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0</v>
      </c>
      <c r="K11" s="110" t="s">
        <v>294</v>
      </c>
      <c r="L11" s="111">
        <v>5</v>
      </c>
      <c r="M11" s="112" t="str">
        <f>Scheids!$D$16</f>
        <v>Diana Schouten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0</v>
      </c>
      <c r="K12" s="124" t="s">
        <v>294</v>
      </c>
      <c r="L12" s="125">
        <v>1</v>
      </c>
      <c r="M12" s="126" t="str">
        <f>Scheids!$D$16</f>
        <v>Diana Schouten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5</v>
      </c>
      <c r="K13" s="124" t="s">
        <v>294</v>
      </c>
      <c r="L13" s="125">
        <v>0</v>
      </c>
      <c r="M13" s="126" t="str">
        <f>Scheids!$D$16</f>
        <v>Diana Schouten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4</v>
      </c>
      <c r="K15" s="124" t="s">
        <v>294</v>
      </c>
      <c r="L15" s="125">
        <v>0</v>
      </c>
      <c r="M15" s="126" t="str">
        <f>Scheids!$F$16</f>
        <v>Frank Maat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0</v>
      </c>
      <c r="K16" s="124" t="s">
        <v>294</v>
      </c>
      <c r="L16" s="125">
        <v>1</v>
      </c>
      <c r="M16" s="126" t="str">
        <f>Scheids!$F$16</f>
        <v>Frank Maat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3</v>
      </c>
      <c r="K17" s="124" t="s">
        <v>294</v>
      </c>
      <c r="L17" s="125">
        <v>1</v>
      </c>
      <c r="M17" s="126" t="str">
        <f>Scheids!$F$16</f>
        <v>Frank Maat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>
        <v>0</v>
      </c>
      <c r="K19" s="124" t="s">
        <v>294</v>
      </c>
      <c r="L19" s="125">
        <v>1</v>
      </c>
      <c r="M19" s="126" t="str">
        <f>Scheids!$D$16</f>
        <v>Diana Schouten</v>
      </c>
      <c r="N19" s="127"/>
      <c r="O19" s="128"/>
      <c r="Q19" s="129">
        <v>2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>
        <v>0</v>
      </c>
      <c r="K20" s="124" t="s">
        <v>294</v>
      </c>
      <c r="L20" s="125">
        <v>4</v>
      </c>
      <c r="M20" s="126" t="str">
        <f>Scheids!$D$16</f>
        <v>Diana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>
        <v>0</v>
      </c>
      <c r="K21" s="124" t="s">
        <v>294</v>
      </c>
      <c r="L21" s="125">
        <v>3</v>
      </c>
      <c r="M21" s="126" t="str">
        <f>Scheids!$D$16</f>
        <v>Diana Schouten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>
        <v>1</v>
      </c>
      <c r="K23" s="124" t="s">
        <v>294</v>
      </c>
      <c r="L23" s="125">
        <v>1</v>
      </c>
      <c r="M23" s="126" t="str">
        <f>Scheids!$F$16</f>
        <v>Frank Maat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>
        <v>0</v>
      </c>
      <c r="K24" s="124" t="s">
        <v>294</v>
      </c>
      <c r="L24" s="125">
        <v>5</v>
      </c>
      <c r="M24" s="126" t="str">
        <f>Scheids!$F$16</f>
        <v>Frank Maat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>
        <v>2</v>
      </c>
      <c r="K25" s="124" t="s">
        <v>294</v>
      </c>
      <c r="L25" s="125">
        <v>0</v>
      </c>
      <c r="M25" s="126" t="str">
        <f>Scheids!$F$16</f>
        <v>Frank Maat</v>
      </c>
      <c r="N25" s="127"/>
      <c r="O25" s="128"/>
      <c r="Q25" s="129">
        <v>0</v>
      </c>
      <c r="R25" s="129">
        <v>0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/>
      <c r="K27" s="124" t="s">
        <v>294</v>
      </c>
      <c r="L27" s="125"/>
      <c r="M27" s="126" t="str">
        <f>Scheids!$D$16</f>
        <v>Diana Schouten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/>
      <c r="K29" s="124" t="s">
        <v>294</v>
      </c>
      <c r="L29" s="125"/>
      <c r="M29" s="126" t="str">
        <f>Scheids!$D$16</f>
        <v>Diana Schouten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/>
      <c r="K30" s="124" t="s">
        <v>294</v>
      </c>
      <c r="L30" s="125"/>
      <c r="M30" s="126" t="str">
        <f>Scheids!$D$16</f>
        <v>Diana Schouten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/>
      <c r="K32" s="124" t="s">
        <v>294</v>
      </c>
      <c r="L32" s="125"/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/>
      <c r="K33" s="124" t="s">
        <v>294</v>
      </c>
      <c r="L33" s="125"/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/>
      <c r="K34" s="124" t="s">
        <v>294</v>
      </c>
      <c r="L34" s="125"/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/>
      <c r="K36" s="124" t="s">
        <v>294</v>
      </c>
      <c r="L36" s="125"/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/>
      <c r="K37" s="124" t="s">
        <v>294</v>
      </c>
      <c r="L37" s="125"/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/>
      <c r="K38" s="139" t="s">
        <v>294</v>
      </c>
      <c r="L38" s="140"/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2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9</v>
      </c>
      <c r="W41" s="152">
        <f>Q11+R18+Q21+Q23+R29+Q34+R36</f>
        <v>4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12</v>
      </c>
      <c r="Q42" s="152">
        <f t="shared" si="0"/>
        <v>4</v>
      </c>
      <c r="R42" s="152">
        <f t="shared" ref="R42:R48" si="2">COUNTIFS(E42:N42,3)</f>
        <v>4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12</v>
      </c>
      <c r="V42" s="152">
        <f>J11+L15+J19+L25+L28+L33+J37</f>
        <v>0</v>
      </c>
      <c r="W42" s="152">
        <f>R11+Q15+R19+Q25+Q28+Q33+R37</f>
        <v>4</v>
      </c>
      <c r="X42" s="129">
        <f t="shared" si="1"/>
        <v>1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4</v>
      </c>
      <c r="R43" s="152">
        <f t="shared" si="2"/>
        <v>0</v>
      </c>
      <c r="S43" s="152">
        <f t="shared" si="3"/>
        <v>3</v>
      </c>
      <c r="T43" s="152">
        <f t="shared" si="4"/>
        <v>1</v>
      </c>
      <c r="U43" s="152">
        <f>J12+L15+J20+L23+J27+J32+L35</f>
        <v>1</v>
      </c>
      <c r="V43" s="152">
        <f>L12+J15+L20+J23+L27+L32+J35</f>
        <v>10</v>
      </c>
      <c r="W43" s="152">
        <f>Q12+R15+Q20+R23+Q27+Q32+R35</f>
        <v>7</v>
      </c>
      <c r="X43" s="129">
        <f t="shared" si="1"/>
        <v>6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4</v>
      </c>
      <c r="R44" s="152">
        <f t="shared" si="2"/>
        <v>2</v>
      </c>
      <c r="S44" s="152">
        <f t="shared" si="3"/>
        <v>2</v>
      </c>
      <c r="T44" s="152">
        <f t="shared" si="4"/>
        <v>0</v>
      </c>
      <c r="U44" s="152">
        <f>L12+J16+J19+L24+J29+L31+L38</f>
        <v>6</v>
      </c>
      <c r="V44" s="152">
        <f>J12+L16+L19+J24+L29+J31+J38</f>
        <v>2</v>
      </c>
      <c r="W44" s="152">
        <f>R12+Q16+Q19+R24+Q29+R31+R38</f>
        <v>8</v>
      </c>
      <c r="X44" s="129">
        <f t="shared" si="1"/>
        <v>3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9</v>
      </c>
      <c r="Q45" s="152">
        <f t="shared" si="0"/>
        <v>3</v>
      </c>
      <c r="R45" s="152">
        <f t="shared" si="2"/>
        <v>3</v>
      </c>
      <c r="S45" s="152">
        <f t="shared" si="3"/>
        <v>0</v>
      </c>
      <c r="T45" s="152">
        <f t="shared" si="4"/>
        <v>0</v>
      </c>
      <c r="U45" s="152">
        <f>J13+L16+L20+J26+L30+L34+J37</f>
        <v>10</v>
      </c>
      <c r="V45" s="152">
        <f>L13+J16+J20+L26+J30+J34+L37</f>
        <v>0</v>
      </c>
      <c r="W45" s="152">
        <f>Q13+R16+R20+Q26+R30+R34+Q37</f>
        <v>5</v>
      </c>
      <c r="X45" s="129">
        <f t="shared" si="1"/>
        <v>2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3</v>
      </c>
      <c r="R46" s="152">
        <f t="shared" si="2"/>
        <v>1</v>
      </c>
      <c r="S46" s="152">
        <f t="shared" si="3"/>
        <v>2</v>
      </c>
      <c r="T46" s="152">
        <f t="shared" si="4"/>
        <v>0</v>
      </c>
      <c r="U46" s="152">
        <f>L13+J17+J22+J24+L27+L33+J36</f>
        <v>3</v>
      </c>
      <c r="V46" s="152">
        <f>J13+L17+L22+L24+J27+J33+L36</f>
        <v>11</v>
      </c>
      <c r="W46" s="152">
        <f>R13+Q17+Q22+Q24+R27+R33+Q36</f>
        <v>6</v>
      </c>
      <c r="X46" s="129">
        <f t="shared" si="1"/>
        <v>4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3</v>
      </c>
      <c r="R47" s="152">
        <f t="shared" si="2"/>
        <v>1</v>
      </c>
      <c r="S47" s="152">
        <f t="shared" si="3"/>
        <v>2</v>
      </c>
      <c r="T47" s="152">
        <f t="shared" si="4"/>
        <v>0</v>
      </c>
      <c r="U47" s="152">
        <f>J14+L17+L21+L25+J30+L32+J38</f>
        <v>4</v>
      </c>
      <c r="V47" s="152">
        <f>L14+J17+J21+J25+L30+J32+L38</f>
        <v>5</v>
      </c>
      <c r="W47" s="152">
        <f>Q14+R17+R21+R25+Q30+R32+Q38</f>
        <v>3</v>
      </c>
      <c r="X47" s="129">
        <f t="shared" si="1"/>
        <v>4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AFED2-4C62-42B1-8CC1-D204C424DA8D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1</v>
      </c>
      <c r="M11" s="112" t="str">
        <f>Scheids!$D$17</f>
        <v>Patrick vd Helm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0</v>
      </c>
      <c r="K12" s="124" t="s">
        <v>294</v>
      </c>
      <c r="L12" s="125">
        <v>1</v>
      </c>
      <c r="M12" s="126" t="str">
        <f>Scheids!$D$17</f>
        <v>Patrick vd Helm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0</v>
      </c>
      <c r="K13" s="124" t="s">
        <v>294</v>
      </c>
      <c r="L13" s="125">
        <v>1</v>
      </c>
      <c r="M13" s="126" t="str">
        <f>Scheids!$D$17</f>
        <v>Patrick vd Helm</v>
      </c>
      <c r="N13" s="127"/>
      <c r="O13" s="128"/>
      <c r="Q13" s="129">
        <v>1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1</v>
      </c>
      <c r="M15" s="126" t="str">
        <f>Scheids!$F$17</f>
        <v>Quinten Kube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0</v>
      </c>
      <c r="K16" s="124" t="s">
        <v>294</v>
      </c>
      <c r="L16" s="125">
        <v>0</v>
      </c>
      <c r="M16" s="126" t="str">
        <f>Scheids!$F$17</f>
        <v>Quinten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3</v>
      </c>
      <c r="K17" s="124" t="s">
        <v>294</v>
      </c>
      <c r="L17" s="125">
        <v>0</v>
      </c>
      <c r="M17" s="126" t="str">
        <f>Scheids!$F$17</f>
        <v>Quinten Kube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>
        <v>2</v>
      </c>
      <c r="K19" s="124" t="s">
        <v>294</v>
      </c>
      <c r="L19" s="125">
        <v>0</v>
      </c>
      <c r="M19" s="126" t="str">
        <f>Scheids!$D$17</f>
        <v>Patrick vd Helm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>
        <v>0</v>
      </c>
      <c r="K20" s="124" t="s">
        <v>294</v>
      </c>
      <c r="L20" s="125">
        <v>2</v>
      </c>
      <c r="M20" s="126" t="str">
        <f>Scheids!$D$17</f>
        <v>Patrick vd Helm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>
        <v>0</v>
      </c>
      <c r="K21" s="124" t="s">
        <v>294</v>
      </c>
      <c r="L21" s="125">
        <v>1</v>
      </c>
      <c r="M21" s="126" t="str">
        <f>Scheids!$D$17</f>
        <v>Patrick vd Helm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>
        <v>0</v>
      </c>
      <c r="K23" s="124" t="s">
        <v>294</v>
      </c>
      <c r="L23" s="125">
        <v>2</v>
      </c>
      <c r="M23" s="126" t="str">
        <f>Scheids!$F$17</f>
        <v>Quinten Kube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>
        <v>4</v>
      </c>
      <c r="K24" s="124" t="s">
        <v>294</v>
      </c>
      <c r="L24" s="125">
        <v>0</v>
      </c>
      <c r="M24" s="126" t="str">
        <f>Scheids!$F$17</f>
        <v>Quinten Kube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>
        <v>0</v>
      </c>
      <c r="K25" s="124" t="s">
        <v>294</v>
      </c>
      <c r="L25" s="125">
        <v>5</v>
      </c>
      <c r="M25" s="126" t="str">
        <f>Scheids!$F$17</f>
        <v>Quinten Kube</v>
      </c>
      <c r="N25" s="127"/>
      <c r="O25" s="128"/>
      <c r="Q25" s="129">
        <v>0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/>
      <c r="K27" s="124" t="s">
        <v>294</v>
      </c>
      <c r="L27" s="125"/>
      <c r="M27" s="126" t="str">
        <f>Scheids!$D$17</f>
        <v>Patrick vd Helm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/>
      <c r="K29" s="124" t="s">
        <v>294</v>
      </c>
      <c r="L29" s="125"/>
      <c r="M29" s="126" t="str">
        <f>Scheids!$D$17</f>
        <v>Patrick vd Helm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/>
      <c r="K30" s="124" t="s">
        <v>294</v>
      </c>
      <c r="L30" s="125"/>
      <c r="M30" s="126" t="str">
        <f>Scheids!$D$17</f>
        <v>Patrick vd Helm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/>
      <c r="K32" s="124" t="s">
        <v>294</v>
      </c>
      <c r="L32" s="125"/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/>
      <c r="K33" s="124" t="s">
        <v>294</v>
      </c>
      <c r="L33" s="125"/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/>
      <c r="K34" s="124" t="s">
        <v>294</v>
      </c>
      <c r="L34" s="125"/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/>
      <c r="K36" s="124" t="s">
        <v>294</v>
      </c>
      <c r="L36" s="125"/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/>
      <c r="K37" s="124" t="s">
        <v>294</v>
      </c>
      <c r="L37" s="125"/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/>
      <c r="K38" s="139" t="s">
        <v>294</v>
      </c>
      <c r="L38" s="140"/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2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4</v>
      </c>
      <c r="W41" s="152">
        <f>Q11+R18+Q21+Q23+R29+Q34+R36</f>
        <v>6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2</v>
      </c>
      <c r="Q42" s="152">
        <f t="shared" si="0"/>
        <v>4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2</v>
      </c>
      <c r="U42" s="152">
        <f>L11+J15+L19+J25+J28+J33+L37</f>
        <v>2</v>
      </c>
      <c r="V42" s="152">
        <f>J11+L15+J19+L25+L28+L33+J37</f>
        <v>9</v>
      </c>
      <c r="W42" s="152">
        <f>R11+Q15+R19+Q25+Q28+Q33+R37</f>
        <v>5</v>
      </c>
      <c r="X42" s="129">
        <f t="shared" si="1"/>
        <v>6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4</v>
      </c>
      <c r="R43" s="152">
        <f t="shared" si="2"/>
        <v>1</v>
      </c>
      <c r="S43" s="152">
        <f t="shared" si="3"/>
        <v>2</v>
      </c>
      <c r="T43" s="152">
        <f t="shared" si="4"/>
        <v>1</v>
      </c>
      <c r="U43" s="152">
        <f>J12+L15+J20+L23+J27+J32+L35</f>
        <v>3</v>
      </c>
      <c r="V43" s="152">
        <f>L12+J15+L20+J23+L27+L32+J35</f>
        <v>4</v>
      </c>
      <c r="W43" s="152">
        <f>Q12+R15+Q20+R23+Q27+Q32+R35</f>
        <v>7</v>
      </c>
      <c r="X43" s="129">
        <f t="shared" si="1"/>
        <v>4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4</v>
      </c>
      <c r="R44" s="152">
        <f t="shared" si="2"/>
        <v>2</v>
      </c>
      <c r="S44" s="152">
        <f t="shared" si="3"/>
        <v>1</v>
      </c>
      <c r="T44" s="152">
        <f t="shared" si="4"/>
        <v>1</v>
      </c>
      <c r="U44" s="152">
        <f>L12+J16+J19+L24+J29+L31+L38</f>
        <v>3</v>
      </c>
      <c r="V44" s="152">
        <f>J12+L16+L19+J24+L29+J31+J38</f>
        <v>4</v>
      </c>
      <c r="W44" s="152">
        <f>R12+Q16+Q19+R24+Q29+R31+R38</f>
        <v>8</v>
      </c>
      <c r="X44" s="129">
        <f t="shared" si="1"/>
        <v>2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3</v>
      </c>
      <c r="R45" s="152">
        <f t="shared" si="2"/>
        <v>1</v>
      </c>
      <c r="S45" s="152">
        <f t="shared" si="3"/>
        <v>1</v>
      </c>
      <c r="T45" s="152">
        <f t="shared" si="4"/>
        <v>1</v>
      </c>
      <c r="U45" s="152">
        <f>J13+L16+L20+J26+L30+L34+J37</f>
        <v>2</v>
      </c>
      <c r="V45" s="152">
        <f>L13+J16+J20+L26+J30+J34+L37</f>
        <v>1</v>
      </c>
      <c r="W45" s="152">
        <f>Q13+R16+R20+Q26+R30+R34+Q37</f>
        <v>5</v>
      </c>
      <c r="X45" s="129">
        <f t="shared" si="1"/>
        <v>4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3</v>
      </c>
      <c r="R46" s="152">
        <f t="shared" si="2"/>
        <v>3</v>
      </c>
      <c r="S46" s="152">
        <f t="shared" si="3"/>
        <v>0</v>
      </c>
      <c r="T46" s="152">
        <f t="shared" si="4"/>
        <v>0</v>
      </c>
      <c r="U46" s="152">
        <f>L13+J17+J22+J24+L27+L33+J36</f>
        <v>8</v>
      </c>
      <c r="V46" s="152">
        <f>J13+L17+L22+L24+J27+J33+L36</f>
        <v>0</v>
      </c>
      <c r="W46" s="152">
        <f>R13+Q17+Q22+Q24+R27+R33+Q36</f>
        <v>6</v>
      </c>
      <c r="X46" s="129">
        <f t="shared" si="1"/>
        <v>1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3</v>
      </c>
      <c r="R47" s="152">
        <f t="shared" si="2"/>
        <v>2</v>
      </c>
      <c r="S47" s="152">
        <f t="shared" si="3"/>
        <v>1</v>
      </c>
      <c r="T47" s="152">
        <f t="shared" si="4"/>
        <v>0</v>
      </c>
      <c r="U47" s="152">
        <f>J14+L17+L21+L25+J30+L32+J38</f>
        <v>6</v>
      </c>
      <c r="V47" s="152">
        <f>L14+J17+J21+J25+L30+J32+L38</f>
        <v>3</v>
      </c>
      <c r="W47" s="152">
        <f>Q14+R17+R21+R25+Q30+R32+Q38</f>
        <v>6</v>
      </c>
      <c r="X47" s="129">
        <f t="shared" si="1"/>
        <v>3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E3A94-8024-42AA-91C5-C6E698F733E7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3</v>
      </c>
      <c r="K11" s="110" t="s">
        <v>294</v>
      </c>
      <c r="L11" s="111">
        <v>0</v>
      </c>
      <c r="M11" s="112" t="str">
        <f>Scheids!$D$18</f>
        <v>Martin van Blitterswijk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0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1</v>
      </c>
      <c r="K13" s="124" t="s">
        <v>294</v>
      </c>
      <c r="L13" s="125">
        <v>0</v>
      </c>
      <c r="M13" s="126" t="str">
        <f>Scheids!$D$18</f>
        <v>Martin van Blitterswijk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0</v>
      </c>
      <c r="M15" s="126" t="str">
        <f>Scheids!$F$18</f>
        <v>Andrew Kube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0</v>
      </c>
      <c r="M16" s="126" t="str">
        <f>Scheids!$F$18</f>
        <v>Andrew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3</v>
      </c>
      <c r="M17" s="126" t="str">
        <f>Scheids!$F$18</f>
        <v>Andrew Kube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>
        <v>2</v>
      </c>
      <c r="K19" s="124" t="s">
        <v>294</v>
      </c>
      <c r="L19" s="125">
        <v>0</v>
      </c>
      <c r="M19" s="126" t="str">
        <f>Scheids!$D$18</f>
        <v>Martin van Blitterswijk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>
        <v>0</v>
      </c>
      <c r="K20" s="124" t="s">
        <v>294</v>
      </c>
      <c r="L20" s="125">
        <v>2</v>
      </c>
      <c r="M20" s="126" t="str">
        <f>Scheids!$D$18</f>
        <v>Martin van Blitterswijk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>
        <v>0</v>
      </c>
      <c r="K21" s="124" t="s">
        <v>294</v>
      </c>
      <c r="L21" s="125">
        <v>2</v>
      </c>
      <c r="M21" s="126" t="str">
        <f>Scheids!$D$18</f>
        <v>Martin van Blitterswijk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>
        <v>2</v>
      </c>
      <c r="K23" s="124" t="s">
        <v>294</v>
      </c>
      <c r="L23" s="125">
        <v>0</v>
      </c>
      <c r="M23" s="126" t="str">
        <f>Scheids!$F$18</f>
        <v>Andrew Kube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>
        <v>1</v>
      </c>
      <c r="K24" s="124" t="s">
        <v>294</v>
      </c>
      <c r="L24" s="125">
        <v>0</v>
      </c>
      <c r="M24" s="126" t="str">
        <f>Scheids!$F$18</f>
        <v>Andrew Kube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>
        <v>0</v>
      </c>
      <c r="K25" s="124" t="s">
        <v>294</v>
      </c>
      <c r="L25" s="125">
        <v>3</v>
      </c>
      <c r="M25" s="126" t="str">
        <f>Scheids!$F$18</f>
        <v>Andrew Kube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/>
      <c r="K27" s="124" t="s">
        <v>294</v>
      </c>
      <c r="L27" s="125"/>
      <c r="M27" s="126" t="str">
        <f>Scheids!$D$18</f>
        <v>Martin van Blitterswijk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/>
      <c r="K29" s="124" t="s">
        <v>294</v>
      </c>
      <c r="L29" s="125"/>
      <c r="M29" s="126" t="str">
        <f>Scheids!$D$18</f>
        <v>Martin van Blitterswijk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/>
      <c r="K30" s="124" t="s">
        <v>294</v>
      </c>
      <c r="L30" s="125"/>
      <c r="M30" s="126" t="str">
        <f>Scheids!$D$18</f>
        <v>Martin van Blitterswijk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/>
      <c r="K32" s="124" t="s">
        <v>294</v>
      </c>
      <c r="L32" s="125"/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/>
      <c r="K33" s="124" t="s">
        <v>294</v>
      </c>
      <c r="L33" s="125"/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/>
      <c r="K34" s="124" t="s">
        <v>294</v>
      </c>
      <c r="L34" s="125"/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/>
      <c r="K36" s="124" t="s">
        <v>294</v>
      </c>
      <c r="L36" s="125"/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/>
      <c r="K37" s="124" t="s">
        <v>294</v>
      </c>
      <c r="L37" s="125"/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/>
      <c r="K38" s="139" t="s">
        <v>294</v>
      </c>
      <c r="L38" s="140"/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3</v>
      </c>
      <c r="R41" s="152">
        <f>COUNTIFS(E41:N41,3)</f>
        <v>2</v>
      </c>
      <c r="S41" s="152">
        <f>COUNTIFS(E41:N41,0)</f>
        <v>1</v>
      </c>
      <c r="T41" s="152">
        <f>COUNTIFS(E41:N41,1)</f>
        <v>0</v>
      </c>
      <c r="U41" s="152">
        <f>J11+L18+J21+J23+L29+J34+L36</f>
        <v>5</v>
      </c>
      <c r="V41" s="152">
        <f>L11+J18+L21+L23+J29+L34+J36</f>
        <v>2</v>
      </c>
      <c r="W41" s="152">
        <f>Q11+R18+Q21+Q23+R29+Q34+R36</f>
        <v>3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8</v>
      </c>
      <c r="W42" s="152">
        <f>R11+Q15+R19+Q25+Q28+Q33+R37</f>
        <v>5</v>
      </c>
      <c r="X42" s="129">
        <f t="shared" si="1"/>
        <v>5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4</v>
      </c>
      <c r="R43" s="152">
        <f t="shared" si="2"/>
        <v>0</v>
      </c>
      <c r="S43" s="152">
        <f t="shared" si="3"/>
        <v>4</v>
      </c>
      <c r="T43" s="152">
        <f t="shared" si="4"/>
        <v>0</v>
      </c>
      <c r="U43" s="152">
        <f>J12+L15+J20+L23+J27+J32+L35</f>
        <v>0</v>
      </c>
      <c r="V43" s="152">
        <f>L12+J15+L20+J23+L27+L32+J35</f>
        <v>7</v>
      </c>
      <c r="W43" s="152">
        <f>Q12+R15+Q20+R23+Q27+Q32+R35</f>
        <v>5</v>
      </c>
      <c r="X43" s="129">
        <f t="shared" si="1"/>
        <v>7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4</v>
      </c>
      <c r="R44" s="152">
        <f t="shared" si="2"/>
        <v>3</v>
      </c>
      <c r="S44" s="152">
        <f t="shared" si="3"/>
        <v>1</v>
      </c>
      <c r="T44" s="152">
        <f t="shared" si="4"/>
        <v>0</v>
      </c>
      <c r="U44" s="152">
        <f>L12+J16+J19+L24+J29+L31+L38</f>
        <v>5</v>
      </c>
      <c r="V44" s="152">
        <f>J12+L16+L19+J24+L29+J31+J38</f>
        <v>1</v>
      </c>
      <c r="W44" s="152">
        <f>R12+Q16+Q19+R24+Q29+R31+R38</f>
        <v>5</v>
      </c>
      <c r="X44" s="129">
        <f t="shared" si="1"/>
        <v>1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6</v>
      </c>
      <c r="Q45" s="152">
        <f t="shared" si="0"/>
        <v>3</v>
      </c>
      <c r="R45" s="152">
        <f t="shared" si="2"/>
        <v>2</v>
      </c>
      <c r="S45" s="152">
        <f t="shared" si="3"/>
        <v>1</v>
      </c>
      <c r="T45" s="152">
        <f t="shared" si="4"/>
        <v>0</v>
      </c>
      <c r="U45" s="152">
        <f>J13+L16+L20+J26+L30+L34+J37</f>
        <v>3</v>
      </c>
      <c r="V45" s="152">
        <f>L13+J16+J20+L26+J30+J34+L37</f>
        <v>1</v>
      </c>
      <c r="W45" s="152">
        <f>Q13+R16+R20+Q26+R30+R34+Q37</f>
        <v>4</v>
      </c>
      <c r="X45" s="129">
        <f t="shared" si="1"/>
        <v>3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3</v>
      </c>
      <c r="R46" s="152">
        <f t="shared" si="2"/>
        <v>1</v>
      </c>
      <c r="S46" s="152">
        <f t="shared" si="3"/>
        <v>2</v>
      </c>
      <c r="T46" s="152">
        <f t="shared" si="4"/>
        <v>0</v>
      </c>
      <c r="U46" s="152">
        <f>L13+J17+J22+J24+L27+L33+J36</f>
        <v>2</v>
      </c>
      <c r="V46" s="152">
        <f>J13+L17+L22+L24+J27+J33+L36</f>
        <v>4</v>
      </c>
      <c r="W46" s="152">
        <f>R13+Q17+Q22+Q24+R27+R33+Q36</f>
        <v>3</v>
      </c>
      <c r="X46" s="129">
        <f t="shared" si="1"/>
        <v>5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9</v>
      </c>
      <c r="Q47" s="152">
        <f t="shared" si="0"/>
        <v>3</v>
      </c>
      <c r="R47" s="152">
        <f t="shared" si="2"/>
        <v>3</v>
      </c>
      <c r="S47" s="152">
        <f t="shared" si="3"/>
        <v>0</v>
      </c>
      <c r="T47" s="152">
        <f t="shared" si="4"/>
        <v>0</v>
      </c>
      <c r="U47" s="152">
        <f>J14+L17+L21+L25+J30+L32+J38</f>
        <v>8</v>
      </c>
      <c r="V47" s="152">
        <f>L14+J17+J21+J25+L30+J32+L38</f>
        <v>1</v>
      </c>
      <c r="W47" s="152">
        <f>Q14+R17+R21+R25+Q30+R32+Q38</f>
        <v>4</v>
      </c>
      <c r="X47" s="129">
        <f t="shared" si="1"/>
        <v>1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2C130-5D1C-42BD-91C6-41A37F36E04D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3</v>
      </c>
      <c r="K11" s="110" t="s">
        <v>294</v>
      </c>
      <c r="L11" s="111">
        <v>0</v>
      </c>
      <c r="M11" s="112" t="str">
        <f>Scheids!$D$19</f>
        <v>John Kortekaas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0</v>
      </c>
      <c r="K12" s="124" t="s">
        <v>294</v>
      </c>
      <c r="L12" s="125">
        <v>4</v>
      </c>
      <c r="M12" s="126" t="str">
        <f>Scheids!$D$19</f>
        <v>John Kortekaas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0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3</v>
      </c>
      <c r="K15" s="124" t="s">
        <v>294</v>
      </c>
      <c r="L15" s="125">
        <v>0</v>
      </c>
      <c r="M15" s="126" t="str">
        <f>Scheids!$F$19</f>
        <v>Robert vd Bosch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3</v>
      </c>
      <c r="K16" s="124" t="s">
        <v>294</v>
      </c>
      <c r="L16" s="125">
        <v>0</v>
      </c>
      <c r="M16" s="126" t="str">
        <f>Scheids!$F$19</f>
        <v>Robert vd Bosch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1</v>
      </c>
      <c r="M17" s="126" t="str">
        <f>Scheids!$F$19</f>
        <v>Robert vd Bosch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>
        <v>4</v>
      </c>
      <c r="K19" s="124" t="s">
        <v>294</v>
      </c>
      <c r="L19" s="125">
        <v>0</v>
      </c>
      <c r="M19" s="126" t="str">
        <f>Scheids!$D$19</f>
        <v>John Kortekaas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>
        <v>0</v>
      </c>
      <c r="K20" s="124" t="s">
        <v>294</v>
      </c>
      <c r="L20" s="125">
        <v>0</v>
      </c>
      <c r="M20" s="126" t="str">
        <f>Scheids!$D$19</f>
        <v>John Kortekaas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>
        <v>2</v>
      </c>
      <c r="K21" s="124" t="s">
        <v>294</v>
      </c>
      <c r="L21" s="125">
        <v>1</v>
      </c>
      <c r="M21" s="126" t="str">
        <f>Scheids!$D$19</f>
        <v>John Kortekaas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>
        <v>2</v>
      </c>
      <c r="K23" s="124" t="s">
        <v>294</v>
      </c>
      <c r="L23" s="125">
        <v>0</v>
      </c>
      <c r="M23" s="126" t="str">
        <f>Scheids!$F$19</f>
        <v>Robert vd Bosch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>
        <v>0</v>
      </c>
      <c r="K24" s="124" t="s">
        <v>294</v>
      </c>
      <c r="L24" s="125">
        <v>3</v>
      </c>
      <c r="M24" s="126" t="str">
        <f>Scheids!$F$19</f>
        <v>Robert vd Bosch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>
        <v>0</v>
      </c>
      <c r="K25" s="124" t="s">
        <v>294</v>
      </c>
      <c r="L25" s="125">
        <v>1</v>
      </c>
      <c r="M25" s="126" t="str">
        <f>Scheids!$F$19</f>
        <v>Robert vd Bosch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/>
      <c r="K27" s="124" t="s">
        <v>294</v>
      </c>
      <c r="L27" s="125"/>
      <c r="M27" s="126" t="str">
        <f>Scheids!$D$19</f>
        <v>John Kortekaas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/>
      <c r="K29" s="124" t="s">
        <v>294</v>
      </c>
      <c r="L29" s="125"/>
      <c r="M29" s="126" t="str">
        <f>Scheids!$D$19</f>
        <v>John Kortekaas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/>
      <c r="K30" s="124" t="s">
        <v>294</v>
      </c>
      <c r="L30" s="125"/>
      <c r="M30" s="126" t="str">
        <f>Scheids!$D$19</f>
        <v>John Kortekaas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/>
      <c r="K32" s="124" t="s">
        <v>294</v>
      </c>
      <c r="L32" s="125"/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/>
      <c r="K33" s="124" t="s">
        <v>294</v>
      </c>
      <c r="L33" s="125"/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/>
      <c r="K34" s="124" t="s">
        <v>294</v>
      </c>
      <c r="L34" s="125"/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/>
      <c r="K36" s="124" t="s">
        <v>294</v>
      </c>
      <c r="L36" s="125"/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/>
      <c r="K37" s="124" t="s">
        <v>294</v>
      </c>
      <c r="L37" s="125"/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/>
      <c r="K38" s="139" t="s">
        <v>294</v>
      </c>
      <c r="L38" s="140"/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9</v>
      </c>
      <c r="Q41" s="152">
        <f t="shared" ref="Q41:Q48" si="0">COUNT(E41:N41)</f>
        <v>3</v>
      </c>
      <c r="R41" s="152">
        <f>COUNTIFS(E41:N41,3)</f>
        <v>3</v>
      </c>
      <c r="S41" s="152">
        <f>COUNTIFS(E41:N41,0)</f>
        <v>0</v>
      </c>
      <c r="T41" s="152">
        <f>COUNTIFS(E41:N41,1)</f>
        <v>0</v>
      </c>
      <c r="U41" s="152">
        <f>J11+L18+J21+J23+L29+J34+L36</f>
        <v>7</v>
      </c>
      <c r="V41" s="152">
        <f>L11+J18+L21+L23+J29+L34+J36</f>
        <v>1</v>
      </c>
      <c r="W41" s="152">
        <f>Q11+R18+Q21+Q23+R29+Q34+R36</f>
        <v>6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8</v>
      </c>
      <c r="W42" s="152">
        <f>R11+Q15+R19+Q25+Q28+Q33+R37</f>
        <v>7</v>
      </c>
      <c r="X42" s="129">
        <f t="shared" si="1"/>
        <v>5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4</v>
      </c>
      <c r="R43" s="152">
        <f t="shared" si="2"/>
        <v>0</v>
      </c>
      <c r="S43" s="152">
        <f t="shared" si="3"/>
        <v>3</v>
      </c>
      <c r="T43" s="152">
        <f t="shared" si="4"/>
        <v>1</v>
      </c>
      <c r="U43" s="152">
        <f>J12+L15+J20+L23+J27+J32+L35</f>
        <v>0</v>
      </c>
      <c r="V43" s="152">
        <f>L12+J15+L20+J23+L27+L32+J35</f>
        <v>9</v>
      </c>
      <c r="W43" s="152">
        <f>Q12+R15+Q20+R23+Q27+Q32+R35</f>
        <v>7</v>
      </c>
      <c r="X43" s="129">
        <f t="shared" si="1"/>
        <v>6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12</v>
      </c>
      <c r="Q44" s="152">
        <f t="shared" si="0"/>
        <v>4</v>
      </c>
      <c r="R44" s="152">
        <f t="shared" si="2"/>
        <v>4</v>
      </c>
      <c r="S44" s="152">
        <f t="shared" si="3"/>
        <v>0</v>
      </c>
      <c r="T44" s="152">
        <f t="shared" si="4"/>
        <v>0</v>
      </c>
      <c r="U44" s="152">
        <f>L12+J16+J19+L24+J29+L31+L38</f>
        <v>14</v>
      </c>
      <c r="V44" s="152">
        <f>J12+L16+L19+J24+L29+J31+J38</f>
        <v>0</v>
      </c>
      <c r="W44" s="152">
        <f>R12+Q16+Q19+R24+Q29+R31+R38</f>
        <v>7</v>
      </c>
      <c r="X44" s="129">
        <f t="shared" si="1"/>
        <v>1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3</v>
      </c>
      <c r="R45" s="152">
        <f t="shared" si="2"/>
        <v>0</v>
      </c>
      <c r="S45" s="152">
        <f t="shared" si="3"/>
        <v>2</v>
      </c>
      <c r="T45" s="152">
        <f t="shared" si="4"/>
        <v>1</v>
      </c>
      <c r="U45" s="152">
        <f>J13+L16+L20+J26+L30+L34+J37</f>
        <v>0</v>
      </c>
      <c r="V45" s="152">
        <f>L13+J16+J20+L26+J30+J34+L37</f>
        <v>5</v>
      </c>
      <c r="W45" s="152">
        <f>Q13+R16+R20+Q26+R30+R34+Q37</f>
        <v>5</v>
      </c>
      <c r="X45" s="129">
        <f t="shared" si="1"/>
        <v>6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3</v>
      </c>
      <c r="R46" s="152">
        <f t="shared" si="2"/>
        <v>1</v>
      </c>
      <c r="S46" s="152">
        <f t="shared" si="3"/>
        <v>1</v>
      </c>
      <c r="T46" s="152">
        <f t="shared" si="4"/>
        <v>1</v>
      </c>
      <c r="U46" s="152">
        <f>L13+J17+J22+J24+L27+L33+J36</f>
        <v>3</v>
      </c>
      <c r="V46" s="152">
        <f>J13+L17+L22+L24+J27+J33+L36</f>
        <v>4</v>
      </c>
      <c r="W46" s="152">
        <f>R13+Q17+Q22+Q24+R27+R33+Q36</f>
        <v>6</v>
      </c>
      <c r="X46" s="129">
        <f t="shared" si="1"/>
        <v>3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4</v>
      </c>
      <c r="Q47" s="152">
        <f t="shared" si="0"/>
        <v>3</v>
      </c>
      <c r="R47" s="152">
        <f t="shared" si="2"/>
        <v>1</v>
      </c>
      <c r="S47" s="152">
        <f t="shared" si="3"/>
        <v>1</v>
      </c>
      <c r="T47" s="152">
        <f t="shared" si="4"/>
        <v>1</v>
      </c>
      <c r="U47" s="152">
        <f>J14+L17+L21+L25+J30+L32+J38</f>
        <v>3</v>
      </c>
      <c r="V47" s="152">
        <f>L14+J17+J21+J25+L30+J32+L38</f>
        <v>3</v>
      </c>
      <c r="W47" s="152">
        <f>Q14+R17+R21+R25+Q30+R32+Q38</f>
        <v>6</v>
      </c>
      <c r="X47" s="129">
        <f t="shared" si="1"/>
        <v>3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2579E-E953-4E64-97E7-26CE7FC8E644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1</v>
      </c>
      <c r="K11" s="110" t="s">
        <v>294</v>
      </c>
      <c r="L11" s="111">
        <v>0</v>
      </c>
      <c r="M11" s="112" t="str">
        <f>Scheids!$D$20</f>
        <v>Bas Kers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0</v>
      </c>
      <c r="K12" s="124" t="s">
        <v>294</v>
      </c>
      <c r="L12" s="125">
        <v>0</v>
      </c>
      <c r="M12" s="126" t="str">
        <f>Scheids!$D$20</f>
        <v>Bas Kers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0</v>
      </c>
      <c r="K13" s="124" t="s">
        <v>294</v>
      </c>
      <c r="L13" s="125">
        <v>1</v>
      </c>
      <c r="M13" s="126" t="str">
        <f>Scheids!$D$20</f>
        <v>Bas Kers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3</v>
      </c>
      <c r="K15" s="124" t="s">
        <v>294</v>
      </c>
      <c r="L15" s="125">
        <v>0</v>
      </c>
      <c r="M15" s="126" t="str">
        <f>Scheids!$F$20</f>
        <v>Iris Klein Bog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0</v>
      </c>
      <c r="M16" s="126" t="str">
        <f>Scheids!$F$20</f>
        <v>Iris Klein Bog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0</v>
      </c>
      <c r="K17" s="124" t="s">
        <v>294</v>
      </c>
      <c r="L17" s="125">
        <v>5</v>
      </c>
      <c r="M17" s="126" t="str">
        <f>Scheids!$F$20</f>
        <v>Iris Klein Bog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>
        <v>0</v>
      </c>
      <c r="K19" s="124" t="s">
        <v>294</v>
      </c>
      <c r="L19" s="125">
        <v>1</v>
      </c>
      <c r="M19" s="126" t="str">
        <f>Scheids!$D$20</f>
        <v>Bas Kers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>
        <v>2</v>
      </c>
      <c r="K20" s="124" t="s">
        <v>294</v>
      </c>
      <c r="L20" s="125">
        <v>0</v>
      </c>
      <c r="M20" s="126" t="str">
        <f>Scheids!$D$20</f>
        <v>Bas Kers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>
        <v>0</v>
      </c>
      <c r="K21" s="124" t="s">
        <v>294</v>
      </c>
      <c r="L21" s="125">
        <v>3</v>
      </c>
      <c r="M21" s="126" t="str">
        <f>Scheids!$D$20</f>
        <v>Bas Kers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>
        <v>0</v>
      </c>
      <c r="K23" s="124" t="s">
        <v>294</v>
      </c>
      <c r="L23" s="125">
        <v>0</v>
      </c>
      <c r="M23" s="126" t="str">
        <f>Scheids!$F$20</f>
        <v>Iris Klein Bog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>
        <v>0</v>
      </c>
      <c r="K24" s="124" t="s">
        <v>294</v>
      </c>
      <c r="L24" s="125">
        <v>2</v>
      </c>
      <c r="M24" s="126" t="str">
        <f>Scheids!$F$20</f>
        <v>Iris Klein Bog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>
        <v>0</v>
      </c>
      <c r="K25" s="124" t="s">
        <v>294</v>
      </c>
      <c r="L25" s="125">
        <v>1</v>
      </c>
      <c r="M25" s="126" t="str">
        <f>Scheids!$F$20</f>
        <v>Iris Klein Bog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/>
      <c r="K27" s="124" t="s">
        <v>294</v>
      </c>
      <c r="L27" s="125"/>
      <c r="M27" s="126" t="str">
        <f>Scheids!$D$20</f>
        <v>Bas Kers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/>
      <c r="K29" s="124" t="s">
        <v>294</v>
      </c>
      <c r="L29" s="125"/>
      <c r="M29" s="126" t="str">
        <f>Scheids!$D$20</f>
        <v>Bas Kers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/>
      <c r="K30" s="124" t="s">
        <v>294</v>
      </c>
      <c r="L30" s="125"/>
      <c r="M30" s="126" t="str">
        <f>Scheids!$D$20</f>
        <v>Bas Kers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/>
      <c r="K32" s="124" t="s">
        <v>294</v>
      </c>
      <c r="L32" s="125"/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/>
      <c r="K33" s="124" t="s">
        <v>294</v>
      </c>
      <c r="L33" s="125"/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/>
      <c r="K34" s="124" t="s">
        <v>294</v>
      </c>
      <c r="L34" s="125"/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/>
      <c r="K36" s="124" t="s">
        <v>294</v>
      </c>
      <c r="L36" s="125"/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/>
      <c r="K37" s="124" t="s">
        <v>294</v>
      </c>
      <c r="L37" s="125"/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/>
      <c r="K38" s="139" t="s">
        <v>294</v>
      </c>
      <c r="L38" s="140"/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4</v>
      </c>
      <c r="Q41" s="152">
        <f t="shared" ref="Q41:Q48" si="0">COUNT(E41:N41)</f>
        <v>3</v>
      </c>
      <c r="R41" s="152">
        <f>COUNTIFS(E41:N41,3)</f>
        <v>1</v>
      </c>
      <c r="S41" s="152">
        <f>COUNTIFS(E41:N41,0)</f>
        <v>1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3</v>
      </c>
      <c r="W41" s="152">
        <f>Q11+R18+Q21+Q23+R29+Q34+R36</f>
        <v>6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4</v>
      </c>
      <c r="R42" s="152">
        <f t="shared" ref="R42:R48" si="2">COUNTIFS(E42:N42,3)</f>
        <v>2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4</v>
      </c>
      <c r="V42" s="152">
        <f>J11+L15+J19+L25+L28+L33+J37</f>
        <v>2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1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5</v>
      </c>
      <c r="Q43" s="152">
        <f t="shared" si="0"/>
        <v>4</v>
      </c>
      <c r="R43" s="152">
        <f t="shared" si="2"/>
        <v>1</v>
      </c>
      <c r="S43" s="152">
        <f t="shared" si="3"/>
        <v>1</v>
      </c>
      <c r="T43" s="152">
        <f t="shared" si="4"/>
        <v>2</v>
      </c>
      <c r="U43" s="152">
        <f>J12+L15+J20+L23+J27+J32+L35</f>
        <v>2</v>
      </c>
      <c r="V43" s="152">
        <f>L12+J15+L20+J23+L27+L32+J35</f>
        <v>3</v>
      </c>
      <c r="W43" s="152">
        <f>Q12+R15+Q20+R23+Q27+Q32+R35</f>
        <v>8</v>
      </c>
      <c r="X43" s="129">
        <f t="shared" si="1"/>
        <v>4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4</v>
      </c>
      <c r="R44" s="152">
        <f t="shared" si="2"/>
        <v>2</v>
      </c>
      <c r="S44" s="152">
        <f t="shared" si="3"/>
        <v>1</v>
      </c>
      <c r="T44" s="152">
        <f t="shared" si="4"/>
        <v>1</v>
      </c>
      <c r="U44" s="152">
        <f>L12+J16+J19+L24+J29+L31+L38</f>
        <v>3</v>
      </c>
      <c r="V44" s="152">
        <f>J12+L16+L19+J24+L29+J31+J38</f>
        <v>1</v>
      </c>
      <c r="W44" s="152">
        <f>R12+Q16+Q19+R24+Q29+R31+R38</f>
        <v>8</v>
      </c>
      <c r="X44" s="129">
        <f t="shared" si="1"/>
        <v>2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4</v>
      </c>
      <c r="W45" s="152">
        <f>Q13+R16+R20+Q26+R30+R34+Q37</f>
        <v>6</v>
      </c>
      <c r="X45" s="129">
        <f t="shared" si="1"/>
        <v>7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3</v>
      </c>
      <c r="R46" s="152">
        <f t="shared" si="2"/>
        <v>1</v>
      </c>
      <c r="S46" s="152">
        <f t="shared" si="3"/>
        <v>2</v>
      </c>
      <c r="T46" s="152">
        <f t="shared" si="4"/>
        <v>0</v>
      </c>
      <c r="U46" s="152">
        <f>L13+J17+J22+J24+L27+L33+J36</f>
        <v>1</v>
      </c>
      <c r="V46" s="152">
        <f>J13+L17+L22+L24+J27+J33+L36</f>
        <v>7</v>
      </c>
      <c r="W46" s="152">
        <f>R13+Q17+Q22+Q24+R27+R33+Q36</f>
        <v>6</v>
      </c>
      <c r="X46" s="129">
        <f t="shared" si="1"/>
        <v>6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9</v>
      </c>
      <c r="Q47" s="152">
        <f t="shared" si="0"/>
        <v>3</v>
      </c>
      <c r="R47" s="152">
        <f t="shared" si="2"/>
        <v>3</v>
      </c>
      <c r="S47" s="152">
        <f t="shared" si="3"/>
        <v>0</v>
      </c>
      <c r="T47" s="152">
        <f t="shared" si="4"/>
        <v>0</v>
      </c>
      <c r="U47" s="152">
        <f>J14+L17+L21+L25+J30+L32+J38</f>
        <v>9</v>
      </c>
      <c r="V47" s="152">
        <f>L14+J17+J21+J25+L30+J32+L38</f>
        <v>0</v>
      </c>
      <c r="W47" s="152">
        <f>Q14+R17+R21+R25+Q30+R32+Q38</f>
        <v>6</v>
      </c>
      <c r="X47" s="129">
        <f t="shared" si="1"/>
        <v>1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B972B-94BD-4E55-A657-040D3A15FCB0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D0F6A-9C7F-4D6E-ABC2-A52EE5A0324A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54B31-D1FA-48D2-B262-D6430447C204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E3F71-1DB5-4F0F-A9D2-2DAB0667DE7D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E62FB-C419-4CDF-83FA-1D6F299F4156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8A7B1-4A35-4820-B049-4C55B20E34FD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6AA2F-4E4E-4FDF-9BEC-B5EF38D2FB8A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EF167-1279-4FA8-858A-AF38C3AB8B47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C52D6-9A81-4F4B-99AD-D1BA3C1BC562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10FFE-D0FE-4D61-A88A-0E2FE4E53368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A5567-AE92-49E2-8EDB-43C6E13D5D67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3574-27B5-4423-A2CE-EB05C3F97B55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C113A-5D3E-4EB6-BF94-956B581C2A34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7AE61-40C9-4830-B330-B51FBE583E95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2026-04-15T13:44:40Z</cp:lastPrinted>
  <dcterms:created xsi:type="dcterms:W3CDTF">2026-04-15T13:43:53Z</dcterms:created>
  <dcterms:modified xsi:type="dcterms:W3CDTF">2026-04-15T13:44:44Z</dcterms:modified>
</cp:coreProperties>
</file>