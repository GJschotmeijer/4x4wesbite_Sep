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01C7F33B-F7B6-4056-8022-2FD0B82731D2}" xr6:coauthVersionLast="47" xr6:coauthVersionMax="47" xr10:uidLastSave="{00000000-0000-0000-0000-000000000000}"/>
  <bookViews>
    <workbookView xWindow="-108" yWindow="-108" windowWidth="16608" windowHeight="8712" xr2:uid="{FA592EDA-87DA-48C0-B873-C90B46F12A05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18" i="33" s="1"/>
  <c r="E41" i="32"/>
  <c r="H40" i="32"/>
  <c r="E40" i="32"/>
  <c r="H17" i="33" s="1"/>
  <c r="H39" i="32"/>
  <c r="E17" i="33" s="1"/>
  <c r="E24" i="33" s="1"/>
  <c r="H30" i="33" s="1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E47" i="30"/>
  <c r="R47" i="30" s="1"/>
  <c r="A47" i="30"/>
  <c r="W46" i="30"/>
  <c r="V46" i="30"/>
  <c r="U46" i="30"/>
  <c r="N46" i="30"/>
  <c r="M46" i="30"/>
  <c r="K46" i="30"/>
  <c r="O46" i="30" s="1" a="1"/>
  <c r="O46" i="30" s="1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F45" i="30"/>
  <c r="E45" i="30"/>
  <c r="A45" i="30"/>
  <c r="W44" i="30"/>
  <c r="V44" i="30"/>
  <c r="U44" i="30"/>
  <c r="N44" i="30"/>
  <c r="M44" i="30"/>
  <c r="K44" i="30"/>
  <c r="I44" i="30"/>
  <c r="H44" i="30"/>
  <c r="F44" i="30"/>
  <c r="E44" i="30"/>
  <c r="A44" i="30"/>
  <c r="W43" i="30"/>
  <c r="V43" i="30"/>
  <c r="U43" i="30"/>
  <c r="N43" i="30"/>
  <c r="M43" i="30"/>
  <c r="K43" i="30"/>
  <c r="I43" i="30"/>
  <c r="H43" i="30"/>
  <c r="F43" i="30"/>
  <c r="E43" i="30"/>
  <c r="A43" i="30"/>
  <c r="E27" i="30" s="1"/>
  <c r="W42" i="30"/>
  <c r="V42" i="30"/>
  <c r="U42" i="30"/>
  <c r="N42" i="30"/>
  <c r="M42" i="30"/>
  <c r="K42" i="30"/>
  <c r="I42" i="30"/>
  <c r="H42" i="30"/>
  <c r="F42" i="30"/>
  <c r="T42" i="30" s="1"/>
  <c r="E42" i="30"/>
  <c r="O42" i="30" s="1" a="1"/>
  <c r="O42" i="30" s="1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M36" i="30"/>
  <c r="M34" i="30"/>
  <c r="M33" i="30"/>
  <c r="M32" i="30"/>
  <c r="H32" i="30"/>
  <c r="E32" i="30"/>
  <c r="M30" i="30"/>
  <c r="E30" i="30"/>
  <c r="M29" i="30"/>
  <c r="E29" i="30"/>
  <c r="M27" i="30"/>
  <c r="M25" i="30"/>
  <c r="H25" i="30"/>
  <c r="M24" i="30"/>
  <c r="H24" i="30"/>
  <c r="M23" i="30"/>
  <c r="M21" i="30"/>
  <c r="H21" i="30"/>
  <c r="M20" i="30"/>
  <c r="E20" i="30"/>
  <c r="M19" i="30"/>
  <c r="E19" i="30"/>
  <c r="M17" i="30"/>
  <c r="H17" i="30"/>
  <c r="M16" i="30"/>
  <c r="E16" i="30"/>
  <c r="M15" i="30"/>
  <c r="M13" i="30"/>
  <c r="M12" i="30"/>
  <c r="H12" i="30"/>
  <c r="E12" i="30"/>
  <c r="M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A48" i="29"/>
  <c r="W47" i="29"/>
  <c r="V47" i="29"/>
  <c r="U47" i="29"/>
  <c r="N47" i="29"/>
  <c r="M47" i="29"/>
  <c r="K47" i="29"/>
  <c r="I47" i="29"/>
  <c r="H47" i="29"/>
  <c r="F47" i="29"/>
  <c r="E47" i="29"/>
  <c r="A47" i="29"/>
  <c r="W46" i="29"/>
  <c r="V46" i="29"/>
  <c r="U46" i="29"/>
  <c r="N46" i="29"/>
  <c r="M46" i="29"/>
  <c r="K46" i="29"/>
  <c r="I46" i="29"/>
  <c r="H46" i="29"/>
  <c r="F46" i="29"/>
  <c r="E46" i="29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O45" i="29" s="1" a="1"/>
  <c r="O45" i="29" s="1"/>
  <c r="A45" i="29"/>
  <c r="H20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S43" i="29" s="1"/>
  <c r="I43" i="29"/>
  <c r="H43" i="29"/>
  <c r="F43" i="29"/>
  <c r="E43" i="29"/>
  <c r="A43" i="29"/>
  <c r="E27" i="29" s="1"/>
  <c r="W42" i="29"/>
  <c r="V42" i="29"/>
  <c r="U42" i="29"/>
  <c r="N42" i="29"/>
  <c r="M42" i="29"/>
  <c r="K42" i="29"/>
  <c r="I42" i="29"/>
  <c r="H42" i="29"/>
  <c r="F42" i="29"/>
  <c r="E42" i="29"/>
  <c r="A42" i="29"/>
  <c r="W41" i="29"/>
  <c r="V41" i="29"/>
  <c r="U41" i="29"/>
  <c r="N41" i="29"/>
  <c r="M41" i="29"/>
  <c r="K41" i="29"/>
  <c r="I41" i="29"/>
  <c r="H41" i="29"/>
  <c r="F41" i="29"/>
  <c r="E41" i="29"/>
  <c r="A41" i="29"/>
  <c r="E21" i="29" s="1"/>
  <c r="M38" i="29"/>
  <c r="H38" i="29"/>
  <c r="E38" i="29"/>
  <c r="M37" i="29"/>
  <c r="M36" i="29"/>
  <c r="H36" i="29"/>
  <c r="M34" i="29"/>
  <c r="M33" i="29"/>
  <c r="H33" i="29"/>
  <c r="M32" i="29"/>
  <c r="H32" i="29"/>
  <c r="M30" i="29"/>
  <c r="E30" i="29"/>
  <c r="M29" i="29"/>
  <c r="E29" i="29"/>
  <c r="M27" i="29"/>
  <c r="H27" i="29"/>
  <c r="M25" i="29"/>
  <c r="H25" i="29"/>
  <c r="M24" i="29"/>
  <c r="H24" i="29"/>
  <c r="E24" i="29"/>
  <c r="M23" i="29"/>
  <c r="M21" i="29"/>
  <c r="H21" i="29"/>
  <c r="M20" i="29"/>
  <c r="E20" i="29"/>
  <c r="M19" i="29"/>
  <c r="E19" i="29"/>
  <c r="M17" i="29"/>
  <c r="H17" i="29"/>
  <c r="E17" i="29"/>
  <c r="M16" i="29"/>
  <c r="E16" i="29"/>
  <c r="M15" i="29"/>
  <c r="M13" i="29"/>
  <c r="H13" i="29"/>
  <c r="M12" i="29"/>
  <c r="H12" i="29"/>
  <c r="M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R47" i="28" s="1"/>
  <c r="A47" i="28"/>
  <c r="W46" i="28"/>
  <c r="V46" i="28"/>
  <c r="U46" i="28"/>
  <c r="N46" i="28"/>
  <c r="M46" i="28"/>
  <c r="K46" i="28"/>
  <c r="O46" i="28" s="1" a="1"/>
  <c r="O46" i="28" s="1"/>
  <c r="I46" i="28"/>
  <c r="H46" i="28"/>
  <c r="F46" i="28"/>
  <c r="E46" i="28"/>
  <c r="A46" i="28"/>
  <c r="E36" i="28" s="1"/>
  <c r="W45" i="28"/>
  <c r="V45" i="28"/>
  <c r="U45" i="28"/>
  <c r="N45" i="28"/>
  <c r="M45" i="28"/>
  <c r="K45" i="28"/>
  <c r="I45" i="28"/>
  <c r="H45" i="28"/>
  <c r="F45" i="28"/>
  <c r="E45" i="28"/>
  <c r="A45" i="28"/>
  <c r="W44" i="28"/>
  <c r="V44" i="28"/>
  <c r="U44" i="28"/>
  <c r="N44" i="28"/>
  <c r="M44" i="28"/>
  <c r="K44" i="28"/>
  <c r="I44" i="28"/>
  <c r="H44" i="28"/>
  <c r="F44" i="28"/>
  <c r="E44" i="28"/>
  <c r="A44" i="28"/>
  <c r="E16" i="28" s="1"/>
  <c r="W43" i="28"/>
  <c r="V43" i="28"/>
  <c r="U43" i="28"/>
  <c r="N43" i="28"/>
  <c r="M43" i="28"/>
  <c r="K43" i="28"/>
  <c r="I43" i="28"/>
  <c r="H43" i="28"/>
  <c r="F43" i="28"/>
  <c r="E43" i="28"/>
  <c r="A43" i="28"/>
  <c r="W42" i="28"/>
  <c r="V42" i="28"/>
  <c r="U42" i="28"/>
  <c r="N42" i="28"/>
  <c r="M42" i="28"/>
  <c r="K42" i="28"/>
  <c r="I42" i="28"/>
  <c r="H42" i="28"/>
  <c r="F42" i="28"/>
  <c r="O42" i="28" s="1" a="1"/>
  <c r="O42" i="28" s="1"/>
  <c r="E42" i="28"/>
  <c r="A42" i="28"/>
  <c r="H37" i="28" s="1"/>
  <c r="W41" i="28"/>
  <c r="V41" i="28"/>
  <c r="U41" i="28"/>
  <c r="N41" i="28"/>
  <c r="M41" i="28"/>
  <c r="K41" i="28"/>
  <c r="I41" i="28"/>
  <c r="H41" i="28"/>
  <c r="F41" i="28"/>
  <c r="E41" i="28"/>
  <c r="A41" i="28"/>
  <c r="E34" i="28" s="1"/>
  <c r="M38" i="28"/>
  <c r="H38" i="28"/>
  <c r="E38" i="28"/>
  <c r="M37" i="28"/>
  <c r="M36" i="28"/>
  <c r="M34" i="28"/>
  <c r="M33" i="28"/>
  <c r="M32" i="28"/>
  <c r="H32" i="28"/>
  <c r="E32" i="28"/>
  <c r="M30" i="28"/>
  <c r="E30" i="28"/>
  <c r="M29" i="28"/>
  <c r="E29" i="28"/>
  <c r="M27" i="28"/>
  <c r="E27" i="28"/>
  <c r="M25" i="28"/>
  <c r="H25" i="28"/>
  <c r="M24" i="28"/>
  <c r="H24" i="28"/>
  <c r="M23" i="28"/>
  <c r="H23" i="28"/>
  <c r="M21" i="28"/>
  <c r="H21" i="28"/>
  <c r="M20" i="28"/>
  <c r="E20" i="28"/>
  <c r="M19" i="28"/>
  <c r="E19" i="28"/>
  <c r="M17" i="28"/>
  <c r="H17" i="28"/>
  <c r="M16" i="28"/>
  <c r="M15" i="28"/>
  <c r="H15" i="28"/>
  <c r="M13" i="28"/>
  <c r="M12" i="28"/>
  <c r="E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A48" i="27"/>
  <c r="W47" i="27"/>
  <c r="V47" i="27"/>
  <c r="U47" i="27"/>
  <c r="N47" i="27"/>
  <c r="M47" i="27"/>
  <c r="K47" i="27"/>
  <c r="S47" i="27" s="1"/>
  <c r="I47" i="27"/>
  <c r="H47" i="27"/>
  <c r="F47" i="27"/>
  <c r="E47" i="27"/>
  <c r="A47" i="27"/>
  <c r="H17" i="27" s="1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N45" i="27"/>
  <c r="M45" i="27"/>
  <c r="K45" i="27"/>
  <c r="I45" i="27"/>
  <c r="H45" i="27"/>
  <c r="F45" i="27"/>
  <c r="E45" i="27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E16" i="27" s="1"/>
  <c r="W43" i="27"/>
  <c r="V43" i="27"/>
  <c r="U43" i="27"/>
  <c r="N43" i="27"/>
  <c r="M43" i="27"/>
  <c r="K43" i="27"/>
  <c r="I43" i="27"/>
  <c r="H43" i="27"/>
  <c r="F43" i="27"/>
  <c r="E43" i="27"/>
  <c r="S43" i="27" s="1"/>
  <c r="A43" i="27"/>
  <c r="E27" i="27" s="1"/>
  <c r="W42" i="27"/>
  <c r="V42" i="27"/>
  <c r="U42" i="27"/>
  <c r="N42" i="27"/>
  <c r="M42" i="27"/>
  <c r="K42" i="27"/>
  <c r="I42" i="27"/>
  <c r="H42" i="27"/>
  <c r="F42" i="27"/>
  <c r="E42" i="27"/>
  <c r="A42" i="27"/>
  <c r="H37" i="27" s="1"/>
  <c r="W41" i="27"/>
  <c r="V41" i="27"/>
  <c r="U41" i="27"/>
  <c r="N41" i="27"/>
  <c r="M41" i="27"/>
  <c r="K41" i="27"/>
  <c r="I41" i="27"/>
  <c r="H41" i="27"/>
  <c r="F41" i="27"/>
  <c r="E41" i="27"/>
  <c r="A41" i="27"/>
  <c r="E34" i="27" s="1"/>
  <c r="M38" i="27"/>
  <c r="H38" i="27"/>
  <c r="E38" i="27"/>
  <c r="M37" i="27"/>
  <c r="M36" i="27"/>
  <c r="E36" i="27"/>
  <c r="M34" i="27"/>
  <c r="M33" i="27"/>
  <c r="M32" i="27"/>
  <c r="H32" i="27"/>
  <c r="E32" i="27"/>
  <c r="M30" i="27"/>
  <c r="E30" i="27"/>
  <c r="M29" i="27"/>
  <c r="E29" i="27"/>
  <c r="M27" i="27"/>
  <c r="M25" i="27"/>
  <c r="E25" i="27"/>
  <c r="M24" i="27"/>
  <c r="H24" i="27"/>
  <c r="M23" i="27"/>
  <c r="M21" i="27"/>
  <c r="H21" i="27"/>
  <c r="M20" i="27"/>
  <c r="E20" i="27"/>
  <c r="M19" i="27"/>
  <c r="H19" i="27"/>
  <c r="E19" i="27"/>
  <c r="M17" i="27"/>
  <c r="M16" i="27"/>
  <c r="M15" i="27"/>
  <c r="H15" i="27"/>
  <c r="E15" i="27"/>
  <c r="M13" i="27"/>
  <c r="M12" i="27"/>
  <c r="E12" i="27"/>
  <c r="M11" i="27"/>
  <c r="H11" i="27"/>
  <c r="N8" i="27"/>
  <c r="K8" i="27"/>
  <c r="I8" i="27"/>
  <c r="E8" i="27"/>
  <c r="A8" i="27"/>
  <c r="W48" i="26"/>
  <c r="V48" i="26"/>
  <c r="U48" i="26"/>
  <c r="O48" i="26" a="1"/>
  <c r="O48" i="26" s="1"/>
  <c r="X48" i="26" s="1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H47" i="26"/>
  <c r="F47" i="26"/>
  <c r="E47" i="26"/>
  <c r="A47" i="26"/>
  <c r="H32" i="26" s="1"/>
  <c r="W46" i="26"/>
  <c r="V46" i="26"/>
  <c r="U46" i="26"/>
  <c r="N46" i="26"/>
  <c r="M46" i="26"/>
  <c r="K46" i="26"/>
  <c r="I46" i="26"/>
  <c r="H46" i="26"/>
  <c r="F46" i="26"/>
  <c r="E46" i="26"/>
  <c r="A46" i="26"/>
  <c r="E36" i="26" s="1"/>
  <c r="W45" i="26"/>
  <c r="V45" i="26"/>
  <c r="U45" i="26"/>
  <c r="N45" i="26"/>
  <c r="M45" i="26"/>
  <c r="K45" i="26"/>
  <c r="I45" i="26"/>
  <c r="H45" i="26"/>
  <c r="F45" i="26"/>
  <c r="E45" i="26"/>
  <c r="T45" i="26" s="1"/>
  <c r="A45" i="26"/>
  <c r="H20" i="26" s="1"/>
  <c r="W44" i="26"/>
  <c r="V44" i="26"/>
  <c r="U44" i="26"/>
  <c r="N44" i="26"/>
  <c r="M44" i="26"/>
  <c r="K44" i="26"/>
  <c r="O44" i="26" s="1" a="1"/>
  <c r="O44" i="26" s="1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A43" i="26"/>
  <c r="W42" i="26"/>
  <c r="V42" i="26"/>
  <c r="U42" i="26"/>
  <c r="N42" i="26"/>
  <c r="M42" i="26"/>
  <c r="K42" i="26"/>
  <c r="I42" i="26"/>
  <c r="H42" i="26"/>
  <c r="F42" i="26"/>
  <c r="E42" i="26"/>
  <c r="A42" i="26"/>
  <c r="H37" i="26" s="1"/>
  <c r="W41" i="26"/>
  <c r="V41" i="26"/>
  <c r="U41" i="26"/>
  <c r="N41" i="26"/>
  <c r="M41" i="26"/>
  <c r="O41" i="26" s="1" a="1"/>
  <c r="O41" i="26" s="1"/>
  <c r="K41" i="26"/>
  <c r="I41" i="26"/>
  <c r="H41" i="26"/>
  <c r="F41" i="26"/>
  <c r="E41" i="26"/>
  <c r="A41" i="26"/>
  <c r="E34" i="26" s="1"/>
  <c r="M38" i="26"/>
  <c r="H38" i="26"/>
  <c r="M37" i="26"/>
  <c r="M36" i="26"/>
  <c r="M34" i="26"/>
  <c r="M33" i="26"/>
  <c r="H33" i="26"/>
  <c r="M32" i="26"/>
  <c r="M30" i="26"/>
  <c r="M29" i="26"/>
  <c r="M27" i="26"/>
  <c r="H27" i="26"/>
  <c r="M25" i="26"/>
  <c r="E25" i="26"/>
  <c r="M24" i="26"/>
  <c r="E24" i="26"/>
  <c r="M23" i="26"/>
  <c r="M21" i="26"/>
  <c r="H21" i="26"/>
  <c r="M20" i="26"/>
  <c r="M19" i="26"/>
  <c r="H19" i="26"/>
  <c r="M17" i="26"/>
  <c r="H17" i="26"/>
  <c r="E17" i="26"/>
  <c r="M16" i="26"/>
  <c r="H16" i="26"/>
  <c r="M15" i="26"/>
  <c r="E15" i="26"/>
  <c r="M13" i="26"/>
  <c r="H13" i="26"/>
  <c r="M12" i="26"/>
  <c r="M11" i="26"/>
  <c r="H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S47" i="25" s="1"/>
  <c r="A47" i="25"/>
  <c r="W46" i="25"/>
  <c r="V46" i="25"/>
  <c r="U46" i="25"/>
  <c r="N46" i="25"/>
  <c r="M46" i="25"/>
  <c r="K46" i="25"/>
  <c r="I46" i="25"/>
  <c r="H46" i="25"/>
  <c r="F46" i="25"/>
  <c r="E46" i="25"/>
  <c r="A46" i="25"/>
  <c r="W45" i="25"/>
  <c r="V45" i="25"/>
  <c r="U45" i="25"/>
  <c r="N45" i="25"/>
  <c r="M45" i="25"/>
  <c r="K45" i="25"/>
  <c r="I45" i="25"/>
  <c r="H45" i="25"/>
  <c r="F45" i="25"/>
  <c r="E45" i="25"/>
  <c r="O45" i="25" s="1" a="1"/>
  <c r="O45" i="25" s="1"/>
  <c r="A45" i="25"/>
  <c r="H20" i="25" s="1"/>
  <c r="W44" i="25"/>
  <c r="V44" i="25"/>
  <c r="U44" i="25"/>
  <c r="N44" i="25"/>
  <c r="M44" i="25"/>
  <c r="K44" i="25"/>
  <c r="I44" i="25"/>
  <c r="H44" i="25"/>
  <c r="F44" i="25"/>
  <c r="E44" i="25"/>
  <c r="A44" i="25"/>
  <c r="E16" i="25" s="1"/>
  <c r="W43" i="25"/>
  <c r="V43" i="25"/>
  <c r="U43" i="25"/>
  <c r="N43" i="25"/>
  <c r="M43" i="25"/>
  <c r="K43" i="25"/>
  <c r="S43" i="25" s="1"/>
  <c r="I43" i="25"/>
  <c r="H43" i="25"/>
  <c r="F43" i="25"/>
  <c r="E43" i="25"/>
  <c r="A43" i="25"/>
  <c r="E27" i="25" s="1"/>
  <c r="W42" i="25"/>
  <c r="V42" i="25"/>
  <c r="U42" i="25"/>
  <c r="N42" i="25"/>
  <c r="M42" i="25"/>
  <c r="K42" i="25"/>
  <c r="I42" i="25"/>
  <c r="H42" i="25"/>
  <c r="F42" i="25"/>
  <c r="E42" i="25"/>
  <c r="A42" i="25"/>
  <c r="W41" i="25"/>
  <c r="V41" i="25"/>
  <c r="U41" i="25"/>
  <c r="N41" i="25"/>
  <c r="M41" i="25"/>
  <c r="K41" i="25"/>
  <c r="I41" i="25"/>
  <c r="H41" i="25"/>
  <c r="F41" i="25"/>
  <c r="E41" i="25"/>
  <c r="A41" i="25"/>
  <c r="E34" i="25" s="1"/>
  <c r="M38" i="25"/>
  <c r="H38" i="25"/>
  <c r="E38" i="25"/>
  <c r="M37" i="25"/>
  <c r="M36" i="25"/>
  <c r="E36" i="25"/>
  <c r="M34" i="25"/>
  <c r="M33" i="25"/>
  <c r="H33" i="25"/>
  <c r="M32" i="25"/>
  <c r="H32" i="25"/>
  <c r="M30" i="25"/>
  <c r="E30" i="25"/>
  <c r="M29" i="25"/>
  <c r="E29" i="25"/>
  <c r="M27" i="25"/>
  <c r="H27" i="25"/>
  <c r="M25" i="25"/>
  <c r="H25" i="25"/>
  <c r="M24" i="25"/>
  <c r="H24" i="25"/>
  <c r="E24" i="25"/>
  <c r="M23" i="25"/>
  <c r="M21" i="25"/>
  <c r="H21" i="25"/>
  <c r="M20" i="25"/>
  <c r="M19" i="25"/>
  <c r="E19" i="25"/>
  <c r="M17" i="25"/>
  <c r="H17" i="25"/>
  <c r="E17" i="25"/>
  <c r="M16" i="25"/>
  <c r="M15" i="25"/>
  <c r="M13" i="25"/>
  <c r="H13" i="25"/>
  <c r="M12" i="25"/>
  <c r="M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H47" i="24"/>
  <c r="F47" i="24"/>
  <c r="Q47" i="24" s="1"/>
  <c r="E47" i="24"/>
  <c r="A47" i="24"/>
  <c r="W46" i="24"/>
  <c r="V46" i="24"/>
  <c r="U46" i="24"/>
  <c r="N46" i="24"/>
  <c r="M46" i="24"/>
  <c r="K46" i="24"/>
  <c r="I46" i="24"/>
  <c r="H46" i="24"/>
  <c r="F46" i="24"/>
  <c r="E46" i="24"/>
  <c r="A46" i="24"/>
  <c r="E24" i="24" s="1"/>
  <c r="W45" i="24"/>
  <c r="V45" i="24"/>
  <c r="U45" i="24"/>
  <c r="N45" i="24"/>
  <c r="M45" i="24"/>
  <c r="K45" i="24"/>
  <c r="I45" i="24"/>
  <c r="H45" i="24"/>
  <c r="F45" i="24"/>
  <c r="E45" i="24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E19" i="24" s="1"/>
  <c r="W43" i="24"/>
  <c r="V43" i="24"/>
  <c r="U43" i="24"/>
  <c r="N43" i="24"/>
  <c r="M43" i="24"/>
  <c r="K43" i="24"/>
  <c r="I43" i="24"/>
  <c r="H43" i="24"/>
  <c r="F43" i="24"/>
  <c r="E43" i="24"/>
  <c r="A43" i="24"/>
  <c r="H15" i="24" s="1"/>
  <c r="W42" i="24"/>
  <c r="V42" i="24"/>
  <c r="U42" i="24"/>
  <c r="N42" i="24"/>
  <c r="M42" i="24"/>
  <c r="K42" i="24"/>
  <c r="I42" i="24"/>
  <c r="H42" i="24"/>
  <c r="F42" i="24"/>
  <c r="R42" i="24" s="1"/>
  <c r="E42" i="24"/>
  <c r="A42" i="24"/>
  <c r="H37" i="24" s="1"/>
  <c r="W41" i="24"/>
  <c r="V41" i="24"/>
  <c r="U41" i="24"/>
  <c r="N41" i="24"/>
  <c r="M41" i="24"/>
  <c r="K41" i="24"/>
  <c r="I41" i="24"/>
  <c r="H41" i="24"/>
  <c r="F41" i="24"/>
  <c r="E41" i="24"/>
  <c r="A41" i="24"/>
  <c r="E34" i="24" s="1"/>
  <c r="M38" i="24"/>
  <c r="H38" i="24"/>
  <c r="E38" i="24"/>
  <c r="M37" i="24"/>
  <c r="M36" i="24"/>
  <c r="E36" i="24"/>
  <c r="M34" i="24"/>
  <c r="M33" i="24"/>
  <c r="H33" i="24"/>
  <c r="E33" i="24"/>
  <c r="M32" i="24"/>
  <c r="H32" i="24"/>
  <c r="E32" i="24"/>
  <c r="M30" i="24"/>
  <c r="E30" i="24"/>
  <c r="M29" i="24"/>
  <c r="E29" i="24"/>
  <c r="M27" i="24"/>
  <c r="E27" i="24"/>
  <c r="M25" i="24"/>
  <c r="H25" i="24"/>
  <c r="E25" i="24"/>
  <c r="M24" i="24"/>
  <c r="H24" i="24"/>
  <c r="M23" i="24"/>
  <c r="H23" i="24"/>
  <c r="M21" i="24"/>
  <c r="H21" i="24"/>
  <c r="M20" i="24"/>
  <c r="E20" i="24"/>
  <c r="M19" i="24"/>
  <c r="H19" i="24"/>
  <c r="M17" i="24"/>
  <c r="H17" i="24"/>
  <c r="M16" i="24"/>
  <c r="E16" i="24"/>
  <c r="M15" i="24"/>
  <c r="E15" i="24"/>
  <c r="M13" i="24"/>
  <c r="M12" i="24"/>
  <c r="H12" i="24"/>
  <c r="E12" i="24"/>
  <c r="M11" i="24"/>
  <c r="N8" i="24"/>
  <c r="K8" i="24"/>
  <c r="I8" i="24"/>
  <c r="E8" i="24"/>
  <c r="A8" i="24"/>
  <c r="W48" i="23"/>
  <c r="V48" i="23"/>
  <c r="U48" i="23"/>
  <c r="S48" i="23"/>
  <c r="N48" i="23"/>
  <c r="M48" i="23"/>
  <c r="K48" i="23"/>
  <c r="I48" i="23"/>
  <c r="H48" i="23"/>
  <c r="F48" i="23"/>
  <c r="E48" i="23"/>
  <c r="A48" i="23"/>
  <c r="W47" i="23"/>
  <c r="V47" i="23"/>
  <c r="U47" i="23"/>
  <c r="N47" i="23"/>
  <c r="M47" i="23"/>
  <c r="K47" i="23"/>
  <c r="I47" i="23"/>
  <c r="H47" i="23"/>
  <c r="F47" i="23"/>
  <c r="E47" i="23"/>
  <c r="A47" i="23"/>
  <c r="W46" i="23"/>
  <c r="V46" i="23"/>
  <c r="U46" i="23"/>
  <c r="N46" i="23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Q45" i="23" s="1"/>
  <c r="E45" i="23"/>
  <c r="A45" i="23"/>
  <c r="W44" i="23"/>
  <c r="V44" i="23"/>
  <c r="U44" i="23"/>
  <c r="N44" i="23"/>
  <c r="M44" i="23"/>
  <c r="K44" i="23"/>
  <c r="I44" i="23"/>
  <c r="H44" i="23"/>
  <c r="F44" i="23"/>
  <c r="E44" i="23"/>
  <c r="A44" i="23"/>
  <c r="H38" i="23" s="1"/>
  <c r="W43" i="23"/>
  <c r="V43" i="23"/>
  <c r="U43" i="23"/>
  <c r="N43" i="23"/>
  <c r="M43" i="23"/>
  <c r="K43" i="23"/>
  <c r="I43" i="23"/>
  <c r="H43" i="23"/>
  <c r="F43" i="23"/>
  <c r="E43" i="23"/>
  <c r="A43" i="23"/>
  <c r="E20" i="23" s="1"/>
  <c r="W42" i="23"/>
  <c r="V42" i="23"/>
  <c r="U42" i="23"/>
  <c r="N42" i="23"/>
  <c r="M42" i="23"/>
  <c r="K42" i="23"/>
  <c r="I42" i="23"/>
  <c r="S42" i="23" s="1"/>
  <c r="H42" i="23"/>
  <c r="F42" i="23"/>
  <c r="E42" i="23"/>
  <c r="O42" i="23" s="1" a="1"/>
  <c r="O42" i="23" s="1"/>
  <c r="X42" i="23" s="1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A41" i="23"/>
  <c r="E34" i="23" s="1"/>
  <c r="M38" i="23"/>
  <c r="E38" i="23"/>
  <c r="M37" i="23"/>
  <c r="E37" i="23"/>
  <c r="M36" i="23"/>
  <c r="H36" i="23"/>
  <c r="M34" i="23"/>
  <c r="H34" i="23"/>
  <c r="M33" i="23"/>
  <c r="H33" i="23"/>
  <c r="M32" i="23"/>
  <c r="H32" i="23"/>
  <c r="M30" i="23"/>
  <c r="H30" i="23"/>
  <c r="E30" i="23"/>
  <c r="M29" i="23"/>
  <c r="M27" i="23"/>
  <c r="M25" i="23"/>
  <c r="H25" i="23"/>
  <c r="E25" i="23"/>
  <c r="M24" i="23"/>
  <c r="M23" i="23"/>
  <c r="M21" i="23"/>
  <c r="H21" i="23"/>
  <c r="M20" i="23"/>
  <c r="H20" i="23"/>
  <c r="M19" i="23"/>
  <c r="M17" i="23"/>
  <c r="H17" i="23"/>
  <c r="M16" i="23"/>
  <c r="H16" i="23"/>
  <c r="M15" i="23"/>
  <c r="E15" i="23"/>
  <c r="M13" i="23"/>
  <c r="E13" i="23"/>
  <c r="M12" i="23"/>
  <c r="M11" i="23"/>
  <c r="H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O48" i="22" s="1" a="1"/>
  <c r="O48" i="22" s="1"/>
  <c r="X48" i="22" s="1"/>
  <c r="A48" i="22"/>
  <c r="W47" i="22"/>
  <c r="V47" i="22"/>
  <c r="U47" i="22"/>
  <c r="N47" i="22"/>
  <c r="M47" i="22"/>
  <c r="K47" i="22"/>
  <c r="S47" i="22" s="1"/>
  <c r="I47" i="22"/>
  <c r="H47" i="22"/>
  <c r="F47" i="22"/>
  <c r="E47" i="22"/>
  <c r="A47" i="22"/>
  <c r="E38" i="22" s="1"/>
  <c r="W46" i="22"/>
  <c r="V46" i="22"/>
  <c r="U46" i="22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E45" i="22"/>
  <c r="A45" i="22"/>
  <c r="H20" i="22" s="1"/>
  <c r="W44" i="22"/>
  <c r="V44" i="22"/>
  <c r="U44" i="22"/>
  <c r="N44" i="22"/>
  <c r="M44" i="22"/>
  <c r="K44" i="22"/>
  <c r="I44" i="22"/>
  <c r="H44" i="22"/>
  <c r="F44" i="22"/>
  <c r="E44" i="22"/>
  <c r="A44" i="22"/>
  <c r="W43" i="22"/>
  <c r="V43" i="22"/>
  <c r="U43" i="22"/>
  <c r="N43" i="22"/>
  <c r="M43" i="22"/>
  <c r="K43" i="22"/>
  <c r="I43" i="22"/>
  <c r="H43" i="22"/>
  <c r="F43" i="22"/>
  <c r="Q43" i="22" s="1"/>
  <c r="E43" i="22"/>
  <c r="A43" i="22"/>
  <c r="W42" i="22"/>
  <c r="V42" i="22"/>
  <c r="U42" i="22"/>
  <c r="N42" i="22"/>
  <c r="M42" i="22"/>
  <c r="K42" i="22"/>
  <c r="I42" i="22"/>
  <c r="H42" i="22"/>
  <c r="F42" i="22"/>
  <c r="E42" i="22"/>
  <c r="A42" i="22"/>
  <c r="H19" i="22" s="1"/>
  <c r="W41" i="22"/>
  <c r="V41" i="22"/>
  <c r="U41" i="22"/>
  <c r="N41" i="22"/>
  <c r="M41" i="22"/>
  <c r="K41" i="22"/>
  <c r="I41" i="22"/>
  <c r="H41" i="22"/>
  <c r="F41" i="22"/>
  <c r="E41" i="22"/>
  <c r="A41" i="22"/>
  <c r="H29" i="22" s="1"/>
  <c r="M38" i="22"/>
  <c r="H38" i="22"/>
  <c r="M37" i="22"/>
  <c r="M36" i="22"/>
  <c r="M34" i="22"/>
  <c r="M33" i="22"/>
  <c r="M32" i="22"/>
  <c r="H32" i="22"/>
  <c r="E32" i="22"/>
  <c r="M30" i="22"/>
  <c r="E30" i="22"/>
  <c r="M29" i="22"/>
  <c r="E29" i="22"/>
  <c r="M27" i="22"/>
  <c r="E27" i="22"/>
  <c r="M25" i="22"/>
  <c r="E25" i="22"/>
  <c r="M24" i="22"/>
  <c r="H24" i="22"/>
  <c r="M23" i="22"/>
  <c r="H23" i="22"/>
  <c r="M21" i="22"/>
  <c r="M20" i="22"/>
  <c r="E20" i="22"/>
  <c r="M19" i="22"/>
  <c r="E19" i="22"/>
  <c r="M17" i="22"/>
  <c r="H17" i="22"/>
  <c r="M16" i="22"/>
  <c r="E16" i="22"/>
  <c r="M15" i="22"/>
  <c r="H15" i="22"/>
  <c r="M13" i="22"/>
  <c r="M12" i="22"/>
  <c r="H12" i="22"/>
  <c r="E12" i="22"/>
  <c r="M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O48" i="21" s="1" a="1"/>
  <c r="O48" i="21" s="1"/>
  <c r="X48" i="21" s="1"/>
  <c r="A48" i="21"/>
  <c r="W47" i="21"/>
  <c r="V47" i="21"/>
  <c r="U47" i="21"/>
  <c r="N47" i="21"/>
  <c r="M47" i="21"/>
  <c r="K47" i="21"/>
  <c r="S47" i="21" s="1"/>
  <c r="I47" i="21"/>
  <c r="H47" i="21"/>
  <c r="F47" i="21"/>
  <c r="E47" i="21"/>
  <c r="A47" i="21"/>
  <c r="E30" i="21" s="1"/>
  <c r="W46" i="21"/>
  <c r="V46" i="21"/>
  <c r="U46" i="21"/>
  <c r="N46" i="21"/>
  <c r="M46" i="21"/>
  <c r="K46" i="21"/>
  <c r="I46" i="21"/>
  <c r="H46" i="21"/>
  <c r="F46" i="21"/>
  <c r="E46" i="21"/>
  <c r="A46" i="21"/>
  <c r="E36" i="21" s="1"/>
  <c r="W45" i="21"/>
  <c r="V45" i="21"/>
  <c r="U45" i="21"/>
  <c r="N45" i="21"/>
  <c r="M45" i="21"/>
  <c r="K45" i="21"/>
  <c r="I45" i="21"/>
  <c r="H45" i="21"/>
  <c r="O45" i="21" s="1" a="1"/>
  <c r="O45" i="21" s="1"/>
  <c r="F45" i="21"/>
  <c r="E45" i="21"/>
  <c r="A45" i="21"/>
  <c r="H20" i="21" s="1"/>
  <c r="W44" i="21"/>
  <c r="V44" i="21"/>
  <c r="U44" i="21"/>
  <c r="N44" i="21"/>
  <c r="M44" i="21"/>
  <c r="K44" i="21"/>
  <c r="I44" i="21"/>
  <c r="H44" i="21"/>
  <c r="F44" i="21"/>
  <c r="E44" i="21"/>
  <c r="A44" i="21"/>
  <c r="W43" i="21"/>
  <c r="V43" i="21"/>
  <c r="U43" i="21"/>
  <c r="N43" i="21"/>
  <c r="M43" i="21"/>
  <c r="K43" i="21"/>
  <c r="I43" i="21"/>
  <c r="H43" i="21"/>
  <c r="F43" i="21"/>
  <c r="E43" i="21"/>
  <c r="A43" i="21"/>
  <c r="W42" i="21"/>
  <c r="V42" i="21"/>
  <c r="U42" i="21"/>
  <c r="N42" i="21"/>
  <c r="M42" i="21"/>
  <c r="O42" i="21" s="1" a="1"/>
  <c r="O42" i="21" s="1"/>
  <c r="K42" i="21"/>
  <c r="I42" i="21"/>
  <c r="H42" i="21"/>
  <c r="F42" i="21"/>
  <c r="E42" i="21"/>
  <c r="A42" i="21"/>
  <c r="H19" i="21" s="1"/>
  <c r="W41" i="21"/>
  <c r="V41" i="21"/>
  <c r="U41" i="21"/>
  <c r="N41" i="21"/>
  <c r="M41" i="21"/>
  <c r="K41" i="21"/>
  <c r="I41" i="21"/>
  <c r="H41" i="21"/>
  <c r="F41" i="21"/>
  <c r="E41" i="21"/>
  <c r="O41" i="21" s="1" a="1"/>
  <c r="O41" i="21" s="1"/>
  <c r="A41" i="21"/>
  <c r="H36" i="21" s="1"/>
  <c r="M38" i="21"/>
  <c r="H38" i="21"/>
  <c r="E38" i="21"/>
  <c r="M37" i="21"/>
  <c r="M36" i="21"/>
  <c r="M34" i="21"/>
  <c r="M33" i="21"/>
  <c r="E33" i="21"/>
  <c r="M32" i="21"/>
  <c r="E32" i="21"/>
  <c r="M30" i="21"/>
  <c r="M29" i="21"/>
  <c r="E29" i="21"/>
  <c r="M27" i="21"/>
  <c r="E27" i="21"/>
  <c r="M25" i="21"/>
  <c r="H25" i="21"/>
  <c r="E25" i="21"/>
  <c r="M24" i="21"/>
  <c r="H24" i="21"/>
  <c r="M23" i="21"/>
  <c r="H23" i="21"/>
  <c r="M21" i="21"/>
  <c r="H21" i="21"/>
  <c r="M20" i="21"/>
  <c r="E20" i="21"/>
  <c r="M19" i="21"/>
  <c r="E19" i="21"/>
  <c r="M17" i="21"/>
  <c r="M16" i="21"/>
  <c r="E16" i="21"/>
  <c r="M15" i="21"/>
  <c r="H15" i="21"/>
  <c r="E15" i="21"/>
  <c r="M13" i="21"/>
  <c r="M12" i="21"/>
  <c r="H12" i="21"/>
  <c r="E12" i="21"/>
  <c r="M11" i="21"/>
  <c r="H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T48" i="20" s="1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E46" i="20"/>
  <c r="T46" i="20" s="1"/>
  <c r="A46" i="20"/>
  <c r="W45" i="20"/>
  <c r="V45" i="20"/>
  <c r="U45" i="20"/>
  <c r="N45" i="20"/>
  <c r="M45" i="20"/>
  <c r="K45" i="20"/>
  <c r="O45" i="20" s="1" a="1"/>
  <c r="O45" i="20" s="1"/>
  <c r="I45" i="20"/>
  <c r="H45" i="20"/>
  <c r="F45" i="20"/>
  <c r="E45" i="20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A44" i="20"/>
  <c r="H12" i="20" s="1"/>
  <c r="W43" i="20"/>
  <c r="V43" i="20"/>
  <c r="U43" i="20"/>
  <c r="N43" i="20"/>
  <c r="M43" i="20"/>
  <c r="K43" i="20"/>
  <c r="I43" i="20"/>
  <c r="H43" i="20"/>
  <c r="S43" i="20" s="1"/>
  <c r="F43" i="20"/>
  <c r="E43" i="20"/>
  <c r="A43" i="20"/>
  <c r="E27" i="20" s="1"/>
  <c r="W42" i="20"/>
  <c r="V42" i="20"/>
  <c r="U42" i="20"/>
  <c r="N42" i="20"/>
  <c r="M42" i="20"/>
  <c r="K42" i="20"/>
  <c r="I42" i="20"/>
  <c r="H42" i="20"/>
  <c r="F42" i="20"/>
  <c r="E42" i="20"/>
  <c r="A42" i="20"/>
  <c r="E33" i="20" s="1"/>
  <c r="W41" i="20"/>
  <c r="V41" i="20"/>
  <c r="U41" i="20"/>
  <c r="N41" i="20"/>
  <c r="M41" i="20"/>
  <c r="K41" i="20"/>
  <c r="I41" i="20"/>
  <c r="H41" i="20"/>
  <c r="F41" i="20"/>
  <c r="E41" i="20"/>
  <c r="O41" i="20" s="1" a="1"/>
  <c r="O41" i="20" s="1"/>
  <c r="A41" i="20"/>
  <c r="H36" i="20" s="1"/>
  <c r="M38" i="20"/>
  <c r="E38" i="20"/>
  <c r="M37" i="20"/>
  <c r="H37" i="20"/>
  <c r="M36" i="20"/>
  <c r="E36" i="20"/>
  <c r="M34" i="20"/>
  <c r="M33" i="20"/>
  <c r="H33" i="20"/>
  <c r="M32" i="20"/>
  <c r="H32" i="20"/>
  <c r="E32" i="20"/>
  <c r="M30" i="20"/>
  <c r="E30" i="20"/>
  <c r="M29" i="20"/>
  <c r="M27" i="20"/>
  <c r="H27" i="20"/>
  <c r="M25" i="20"/>
  <c r="H25" i="20"/>
  <c r="E25" i="20"/>
  <c r="M24" i="20"/>
  <c r="E24" i="20"/>
  <c r="M23" i="20"/>
  <c r="M21" i="20"/>
  <c r="H21" i="20"/>
  <c r="M20" i="20"/>
  <c r="E20" i="20"/>
  <c r="M19" i="20"/>
  <c r="H19" i="20"/>
  <c r="M17" i="20"/>
  <c r="H17" i="20"/>
  <c r="E17" i="20"/>
  <c r="M16" i="20"/>
  <c r="M15" i="20"/>
  <c r="H15" i="20"/>
  <c r="E15" i="20"/>
  <c r="M13" i="20"/>
  <c r="H13" i="20"/>
  <c r="M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T48" i="19" s="1"/>
  <c r="E48" i="19"/>
  <c r="A48" i="19"/>
  <c r="W47" i="19"/>
  <c r="V47" i="19"/>
  <c r="U47" i="19"/>
  <c r="N47" i="19"/>
  <c r="M47" i="19"/>
  <c r="K47" i="19"/>
  <c r="I47" i="19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T46" i="19" s="1"/>
  <c r="A46" i="19"/>
  <c r="W45" i="19"/>
  <c r="V45" i="19"/>
  <c r="U45" i="19"/>
  <c r="N45" i="19"/>
  <c r="M45" i="19"/>
  <c r="K45" i="19"/>
  <c r="O45" i="19" s="1" a="1"/>
  <c r="O45" i="19" s="1"/>
  <c r="I45" i="19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E44" i="19"/>
  <c r="A44" i="19"/>
  <c r="W43" i="19"/>
  <c r="V43" i="19"/>
  <c r="U43" i="19"/>
  <c r="N43" i="19"/>
  <c r="M43" i="19"/>
  <c r="K43" i="19"/>
  <c r="I43" i="19"/>
  <c r="H43" i="19"/>
  <c r="F43" i="19"/>
  <c r="E43" i="19"/>
  <c r="A43" i="19"/>
  <c r="E27" i="19" s="1"/>
  <c r="W42" i="19"/>
  <c r="V42" i="19"/>
  <c r="U42" i="19"/>
  <c r="N42" i="19"/>
  <c r="M42" i="19"/>
  <c r="K42" i="19"/>
  <c r="I42" i="19"/>
  <c r="H42" i="19"/>
  <c r="F42" i="19"/>
  <c r="E42" i="19"/>
  <c r="A42" i="19"/>
  <c r="H37" i="19" s="1"/>
  <c r="W41" i="19"/>
  <c r="V41" i="19"/>
  <c r="U41" i="19"/>
  <c r="N41" i="19"/>
  <c r="M41" i="19"/>
  <c r="K41" i="19"/>
  <c r="I41" i="19"/>
  <c r="H41" i="19"/>
  <c r="F41" i="19"/>
  <c r="S41" i="19" s="1"/>
  <c r="E41" i="19"/>
  <c r="A41" i="19"/>
  <c r="E34" i="19" s="1"/>
  <c r="M38" i="19"/>
  <c r="E38" i="19"/>
  <c r="M37" i="19"/>
  <c r="M36" i="19"/>
  <c r="E36" i="19"/>
  <c r="M34" i="19"/>
  <c r="M33" i="19"/>
  <c r="H33" i="19"/>
  <c r="M32" i="19"/>
  <c r="H32" i="19"/>
  <c r="E32" i="19"/>
  <c r="M30" i="19"/>
  <c r="E30" i="19"/>
  <c r="M29" i="19"/>
  <c r="M27" i="19"/>
  <c r="H27" i="19"/>
  <c r="M25" i="19"/>
  <c r="H25" i="19"/>
  <c r="E25" i="19"/>
  <c r="M24" i="19"/>
  <c r="E24" i="19"/>
  <c r="M23" i="19"/>
  <c r="M21" i="19"/>
  <c r="H21" i="19"/>
  <c r="M20" i="19"/>
  <c r="E20" i="19"/>
  <c r="M19" i="19"/>
  <c r="H19" i="19"/>
  <c r="M17" i="19"/>
  <c r="H17" i="19"/>
  <c r="E17" i="19"/>
  <c r="M16" i="19"/>
  <c r="M15" i="19"/>
  <c r="H15" i="19"/>
  <c r="E15" i="19"/>
  <c r="M13" i="19"/>
  <c r="H13" i="19"/>
  <c r="M12" i="19"/>
  <c r="E12" i="19"/>
  <c r="M11" i="19"/>
  <c r="H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E47" i="18"/>
  <c r="O47" i="18" s="1" a="1"/>
  <c r="O47" i="18" s="1"/>
  <c r="A47" i="18"/>
  <c r="W46" i="18"/>
  <c r="V46" i="18"/>
  <c r="U46" i="18"/>
  <c r="N46" i="18"/>
  <c r="M46" i="18"/>
  <c r="K46" i="18"/>
  <c r="O46" i="18" s="1" a="1"/>
  <c r="O46" i="18" s="1"/>
  <c r="I46" i="18"/>
  <c r="H46" i="18"/>
  <c r="F46" i="18"/>
  <c r="E46" i="18"/>
  <c r="A46" i="18"/>
  <c r="E36" i="18" s="1"/>
  <c r="W45" i="18"/>
  <c r="V45" i="18"/>
  <c r="U45" i="18"/>
  <c r="N45" i="18"/>
  <c r="M45" i="18"/>
  <c r="K45" i="18"/>
  <c r="I45" i="18"/>
  <c r="H45" i="18"/>
  <c r="F45" i="18"/>
  <c r="E45" i="18"/>
  <c r="A45" i="18"/>
  <c r="W44" i="18"/>
  <c r="V44" i="18"/>
  <c r="U44" i="18"/>
  <c r="N44" i="18"/>
  <c r="M44" i="18"/>
  <c r="K44" i="18"/>
  <c r="I44" i="18"/>
  <c r="O44" i="18" s="1" a="1"/>
  <c r="O44" i="18" s="1"/>
  <c r="H44" i="18"/>
  <c r="F44" i="18"/>
  <c r="E44" i="18"/>
  <c r="S44" i="18" s="1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E42" i="18"/>
  <c r="O42" i="18" s="1" a="1"/>
  <c r="O42" i="18" s="1"/>
  <c r="A42" i="18"/>
  <c r="H19" i="18" s="1"/>
  <c r="W41" i="18"/>
  <c r="V41" i="18"/>
  <c r="U41" i="18"/>
  <c r="N41" i="18"/>
  <c r="M41" i="18"/>
  <c r="K41" i="18"/>
  <c r="I41" i="18"/>
  <c r="H41" i="18"/>
  <c r="F41" i="18"/>
  <c r="E41" i="18"/>
  <c r="A41" i="18"/>
  <c r="H29" i="18" s="1"/>
  <c r="M38" i="18"/>
  <c r="H38" i="18"/>
  <c r="E38" i="18"/>
  <c r="M37" i="18"/>
  <c r="M36" i="18"/>
  <c r="H36" i="18"/>
  <c r="M34" i="18"/>
  <c r="M33" i="18"/>
  <c r="M32" i="18"/>
  <c r="H32" i="18"/>
  <c r="E32" i="18"/>
  <c r="M30" i="18"/>
  <c r="E30" i="18"/>
  <c r="M29" i="18"/>
  <c r="M27" i="18"/>
  <c r="M25" i="18"/>
  <c r="H25" i="18"/>
  <c r="E25" i="18"/>
  <c r="M24" i="18"/>
  <c r="M23" i="18"/>
  <c r="E23" i="18"/>
  <c r="M21" i="18"/>
  <c r="H21" i="18"/>
  <c r="M20" i="18"/>
  <c r="E20" i="18"/>
  <c r="M19" i="18"/>
  <c r="E19" i="18"/>
  <c r="M17" i="18"/>
  <c r="H17" i="18"/>
  <c r="M16" i="18"/>
  <c r="M15" i="18"/>
  <c r="H15" i="18"/>
  <c r="E15" i="18"/>
  <c r="M13" i="18"/>
  <c r="M12" i="18"/>
  <c r="E12" i="18"/>
  <c r="M11" i="18"/>
  <c r="H11" i="18"/>
  <c r="E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A48" i="17"/>
  <c r="W47" i="17"/>
  <c r="V47" i="17"/>
  <c r="U47" i="17"/>
  <c r="N47" i="17"/>
  <c r="M47" i="17"/>
  <c r="K47" i="17"/>
  <c r="I47" i="17"/>
  <c r="H47" i="17"/>
  <c r="F47" i="17"/>
  <c r="E47" i="17"/>
  <c r="A47" i="17"/>
  <c r="W46" i="17"/>
  <c r="V46" i="17"/>
  <c r="U46" i="17"/>
  <c r="N46" i="17"/>
  <c r="M46" i="17"/>
  <c r="K46" i="17"/>
  <c r="I46" i="17"/>
  <c r="H46" i="17"/>
  <c r="F46" i="17"/>
  <c r="E46" i="17"/>
  <c r="T46" i="17" s="1"/>
  <c r="A46" i="17"/>
  <c r="E36" i="17" s="1"/>
  <c r="W45" i="17"/>
  <c r="V45" i="17"/>
  <c r="U45" i="17"/>
  <c r="N45" i="17"/>
  <c r="M45" i="17"/>
  <c r="K45" i="17"/>
  <c r="O45" i="17" s="1" a="1"/>
  <c r="O45" i="17" s="1"/>
  <c r="I45" i="17"/>
  <c r="H45" i="17"/>
  <c r="F45" i="17"/>
  <c r="E45" i="17"/>
  <c r="A45" i="17"/>
  <c r="H20" i="17" s="1"/>
  <c r="W44" i="17"/>
  <c r="V44" i="17"/>
  <c r="U44" i="17"/>
  <c r="N44" i="17"/>
  <c r="M44" i="17"/>
  <c r="K44" i="17"/>
  <c r="I44" i="17"/>
  <c r="H44" i="17"/>
  <c r="F44" i="17"/>
  <c r="E44" i="17"/>
  <c r="A44" i="17"/>
  <c r="W43" i="17"/>
  <c r="V43" i="17"/>
  <c r="U43" i="17"/>
  <c r="N43" i="17"/>
  <c r="M43" i="17"/>
  <c r="K43" i="17"/>
  <c r="I43" i="17"/>
  <c r="H43" i="17"/>
  <c r="F43" i="17"/>
  <c r="E43" i="17"/>
  <c r="A43" i="17"/>
  <c r="W42" i="17"/>
  <c r="V42" i="17"/>
  <c r="U42" i="17"/>
  <c r="N42" i="17"/>
  <c r="M42" i="17"/>
  <c r="O42" i="17" s="1" a="1"/>
  <c r="O42" i="17" s="1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A41" i="17"/>
  <c r="H36" i="17" s="1"/>
  <c r="M38" i="17"/>
  <c r="E38" i="17"/>
  <c r="M37" i="17"/>
  <c r="M36" i="17"/>
  <c r="M34" i="17"/>
  <c r="M33" i="17"/>
  <c r="H33" i="17"/>
  <c r="M32" i="17"/>
  <c r="H32" i="17"/>
  <c r="E32" i="17"/>
  <c r="M30" i="17"/>
  <c r="E30" i="17"/>
  <c r="M29" i="17"/>
  <c r="M27" i="17"/>
  <c r="E27" i="17"/>
  <c r="M25" i="17"/>
  <c r="H25" i="17"/>
  <c r="E25" i="17"/>
  <c r="M24" i="17"/>
  <c r="M23" i="17"/>
  <c r="H23" i="17"/>
  <c r="M21" i="17"/>
  <c r="H21" i="17"/>
  <c r="M20" i="17"/>
  <c r="E20" i="17"/>
  <c r="M19" i="17"/>
  <c r="M17" i="17"/>
  <c r="H17" i="17"/>
  <c r="E17" i="17"/>
  <c r="M16" i="17"/>
  <c r="M15" i="17"/>
  <c r="H15" i="17"/>
  <c r="E15" i="17"/>
  <c r="M13" i="17"/>
  <c r="H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H47" i="16"/>
  <c r="F47" i="16"/>
  <c r="E47" i="16"/>
  <c r="R47" i="16" s="1"/>
  <c r="A47" i="16"/>
  <c r="W46" i="16"/>
  <c r="V46" i="16"/>
  <c r="U46" i="16"/>
  <c r="N46" i="16"/>
  <c r="M46" i="16"/>
  <c r="K46" i="16"/>
  <c r="I46" i="16"/>
  <c r="S46" i="16" s="1"/>
  <c r="H46" i="16"/>
  <c r="F46" i="16"/>
  <c r="E46" i="16"/>
  <c r="A46" i="16"/>
  <c r="W45" i="16"/>
  <c r="V45" i="16"/>
  <c r="U45" i="16"/>
  <c r="O45" i="16" a="1"/>
  <c r="O45" i="16" s="1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A43" i="16"/>
  <c r="E27" i="16" s="1"/>
  <c r="W42" i="16"/>
  <c r="V42" i="16"/>
  <c r="U42" i="16"/>
  <c r="N42" i="16"/>
  <c r="M42" i="16"/>
  <c r="K42" i="16"/>
  <c r="I42" i="16"/>
  <c r="H42" i="16"/>
  <c r="F42" i="16"/>
  <c r="E42" i="16"/>
  <c r="T42" i="16" s="1"/>
  <c r="A42" i="16"/>
  <c r="H37" i="16" s="1"/>
  <c r="W41" i="16"/>
  <c r="V41" i="16"/>
  <c r="U41" i="16"/>
  <c r="N41" i="16"/>
  <c r="M41" i="16"/>
  <c r="K41" i="16"/>
  <c r="O41" i="16" s="1" a="1"/>
  <c r="O41" i="16" s="1"/>
  <c r="I41" i="16"/>
  <c r="H41" i="16"/>
  <c r="F41" i="16"/>
  <c r="E41" i="16"/>
  <c r="A41" i="16"/>
  <c r="E34" i="16" s="1"/>
  <c r="M38" i="16"/>
  <c r="H38" i="16"/>
  <c r="E38" i="16"/>
  <c r="M37" i="16"/>
  <c r="M36" i="16"/>
  <c r="E36" i="16"/>
  <c r="M34" i="16"/>
  <c r="M33" i="16"/>
  <c r="H33" i="16"/>
  <c r="M32" i="16"/>
  <c r="H32" i="16"/>
  <c r="E32" i="16"/>
  <c r="M30" i="16"/>
  <c r="E30" i="16"/>
  <c r="M29" i="16"/>
  <c r="E29" i="16"/>
  <c r="M27" i="16"/>
  <c r="H27" i="16"/>
  <c r="M25" i="16"/>
  <c r="H25" i="16"/>
  <c r="M24" i="16"/>
  <c r="H24" i="16"/>
  <c r="E24" i="16"/>
  <c r="M23" i="16"/>
  <c r="M21" i="16"/>
  <c r="H21" i="16"/>
  <c r="M20" i="16"/>
  <c r="E20" i="16"/>
  <c r="M19" i="16"/>
  <c r="H19" i="16"/>
  <c r="M17" i="16"/>
  <c r="H17" i="16"/>
  <c r="E17" i="16"/>
  <c r="M16" i="16"/>
  <c r="M15" i="16"/>
  <c r="H15" i="16"/>
  <c r="M13" i="16"/>
  <c r="H13" i="16"/>
  <c r="M12" i="16"/>
  <c r="E12" i="16"/>
  <c r="M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O48" i="15" s="1" a="1"/>
  <c r="O48" i="15" s="1"/>
  <c r="X48" i="15" s="1"/>
  <c r="A48" i="15"/>
  <c r="W47" i="15"/>
  <c r="V47" i="15"/>
  <c r="U47" i="15"/>
  <c r="N47" i="15"/>
  <c r="M47" i="15"/>
  <c r="K47" i="15"/>
  <c r="S47" i="15" s="1"/>
  <c r="I47" i="15"/>
  <c r="H47" i="15"/>
  <c r="F47" i="15"/>
  <c r="E47" i="15"/>
  <c r="A47" i="15"/>
  <c r="H17" i="15" s="1"/>
  <c r="W46" i="15"/>
  <c r="V46" i="15"/>
  <c r="U46" i="15"/>
  <c r="N46" i="15"/>
  <c r="M46" i="15"/>
  <c r="K46" i="15"/>
  <c r="I46" i="15"/>
  <c r="H46" i="15"/>
  <c r="F46" i="15"/>
  <c r="E46" i="15"/>
  <c r="A46" i="15"/>
  <c r="W45" i="15"/>
  <c r="V45" i="15"/>
  <c r="U45" i="15"/>
  <c r="N45" i="15"/>
  <c r="M45" i="15"/>
  <c r="K45" i="15"/>
  <c r="I45" i="15"/>
  <c r="H45" i="15"/>
  <c r="F45" i="15"/>
  <c r="E45" i="15"/>
  <c r="A45" i="15"/>
  <c r="H20" i="15" s="1"/>
  <c r="W44" i="15"/>
  <c r="V44" i="15"/>
  <c r="U44" i="15"/>
  <c r="N44" i="15"/>
  <c r="M44" i="15"/>
  <c r="K44" i="15"/>
  <c r="I44" i="15"/>
  <c r="H44" i="15"/>
  <c r="F44" i="15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Q43" i="15" s="1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E42" i="15"/>
  <c r="A42" i="15"/>
  <c r="H19" i="15" s="1"/>
  <c r="W41" i="15"/>
  <c r="V41" i="15"/>
  <c r="U41" i="15"/>
  <c r="N41" i="15"/>
  <c r="M41" i="15"/>
  <c r="K41" i="15"/>
  <c r="I41" i="15"/>
  <c r="H41" i="15"/>
  <c r="F41" i="15"/>
  <c r="E41" i="15"/>
  <c r="A41" i="15"/>
  <c r="E34" i="15" s="1"/>
  <c r="M38" i="15"/>
  <c r="H38" i="15"/>
  <c r="M37" i="15"/>
  <c r="M36" i="15"/>
  <c r="M34" i="15"/>
  <c r="M33" i="15"/>
  <c r="M32" i="15"/>
  <c r="E32" i="15"/>
  <c r="M30" i="15"/>
  <c r="M29" i="15"/>
  <c r="E29" i="15"/>
  <c r="M27" i="15"/>
  <c r="M25" i="15"/>
  <c r="H25" i="15"/>
  <c r="M24" i="15"/>
  <c r="H24" i="15"/>
  <c r="M23" i="15"/>
  <c r="M21" i="15"/>
  <c r="M20" i="15"/>
  <c r="E20" i="15"/>
  <c r="M19" i="15"/>
  <c r="E19" i="15"/>
  <c r="M17" i="15"/>
  <c r="M16" i="15"/>
  <c r="M15" i="15"/>
  <c r="H15" i="15"/>
  <c r="M13" i="15"/>
  <c r="M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S47" i="14"/>
  <c r="N47" i="14"/>
  <c r="M47" i="14"/>
  <c r="K47" i="14"/>
  <c r="I47" i="14"/>
  <c r="H47" i="14"/>
  <c r="F47" i="14"/>
  <c r="E47" i="14"/>
  <c r="A47" i="14"/>
  <c r="W46" i="14"/>
  <c r="V46" i="14"/>
  <c r="U46" i="14"/>
  <c r="N46" i="14"/>
  <c r="M46" i="14"/>
  <c r="K46" i="14"/>
  <c r="I46" i="14"/>
  <c r="H46" i="14"/>
  <c r="F46" i="14"/>
  <c r="E46" i="14"/>
  <c r="A46" i="14"/>
  <c r="W45" i="14"/>
  <c r="V45" i="14"/>
  <c r="U45" i="14"/>
  <c r="N45" i="14"/>
  <c r="M45" i="14"/>
  <c r="K45" i="14"/>
  <c r="I45" i="14"/>
  <c r="H45" i="14"/>
  <c r="F45" i="14"/>
  <c r="O45" i="14" s="1" a="1"/>
  <c r="O45" i="14" s="1"/>
  <c r="E45" i="14"/>
  <c r="A45" i="14"/>
  <c r="H30" i="14" s="1"/>
  <c r="W44" i="14"/>
  <c r="V44" i="14"/>
  <c r="U44" i="14"/>
  <c r="N44" i="14"/>
  <c r="M44" i="14"/>
  <c r="K44" i="14"/>
  <c r="I44" i="14"/>
  <c r="H44" i="14"/>
  <c r="F44" i="14"/>
  <c r="Q44" i="14" s="1"/>
  <c r="E44" i="14"/>
  <c r="A44" i="14"/>
  <c r="W43" i="14"/>
  <c r="V43" i="14"/>
  <c r="U43" i="14"/>
  <c r="N43" i="14"/>
  <c r="M43" i="14"/>
  <c r="K43" i="14"/>
  <c r="I43" i="14"/>
  <c r="H43" i="14"/>
  <c r="F43" i="14"/>
  <c r="E43" i="14"/>
  <c r="A43" i="14"/>
  <c r="H35" i="14" s="1"/>
  <c r="W42" i="14"/>
  <c r="V42" i="14"/>
  <c r="U42" i="14"/>
  <c r="N42" i="14"/>
  <c r="M42" i="14"/>
  <c r="K42" i="14"/>
  <c r="I42" i="14"/>
  <c r="H42" i="14"/>
  <c r="F42" i="14"/>
  <c r="E42" i="14"/>
  <c r="A42" i="14"/>
  <c r="W41" i="14"/>
  <c r="V41" i="14"/>
  <c r="U41" i="14"/>
  <c r="N41" i="14"/>
  <c r="M41" i="14"/>
  <c r="K41" i="14"/>
  <c r="I41" i="14"/>
  <c r="H41" i="14"/>
  <c r="F41" i="14"/>
  <c r="E41" i="14"/>
  <c r="A41" i="14"/>
  <c r="H36" i="14" s="1"/>
  <c r="M38" i="14"/>
  <c r="H38" i="14"/>
  <c r="M37" i="14"/>
  <c r="M36" i="14"/>
  <c r="E36" i="14"/>
  <c r="M35" i="14"/>
  <c r="E35" i="14"/>
  <c r="M34" i="14"/>
  <c r="M33" i="14"/>
  <c r="H33" i="14"/>
  <c r="E33" i="14"/>
  <c r="M32" i="14"/>
  <c r="M31" i="14"/>
  <c r="H31" i="14"/>
  <c r="E31" i="14"/>
  <c r="M30" i="14"/>
  <c r="E30" i="14"/>
  <c r="M29" i="14"/>
  <c r="E29" i="14"/>
  <c r="M28" i="14"/>
  <c r="H28" i="14"/>
  <c r="M27" i="14"/>
  <c r="H27" i="14"/>
  <c r="E27" i="14"/>
  <c r="M26" i="14"/>
  <c r="H26" i="14"/>
  <c r="M25" i="14"/>
  <c r="M24" i="14"/>
  <c r="H24" i="14"/>
  <c r="E24" i="14"/>
  <c r="M23" i="14"/>
  <c r="E23" i="14"/>
  <c r="M22" i="14"/>
  <c r="H22" i="14"/>
  <c r="E22" i="14"/>
  <c r="M21" i="14"/>
  <c r="M20" i="14"/>
  <c r="H20" i="14"/>
  <c r="M19" i="14"/>
  <c r="E19" i="14"/>
  <c r="M18" i="14"/>
  <c r="E18" i="14"/>
  <c r="M17" i="14"/>
  <c r="E17" i="14"/>
  <c r="M16" i="14"/>
  <c r="E16" i="14"/>
  <c r="M15" i="14"/>
  <c r="E15" i="14"/>
  <c r="M14" i="14"/>
  <c r="H14" i="14"/>
  <c r="M13" i="14"/>
  <c r="H13" i="14"/>
  <c r="M12" i="14"/>
  <c r="H12" i="14"/>
  <c r="E12" i="14"/>
  <c r="M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T48" i="13" s="1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E30" i="13" s="1"/>
  <c r="W46" i="13"/>
  <c r="V46" i="13"/>
  <c r="U46" i="13"/>
  <c r="N46" i="13"/>
  <c r="M46" i="13"/>
  <c r="K46" i="13"/>
  <c r="I46" i="13"/>
  <c r="H46" i="13"/>
  <c r="F46" i="13"/>
  <c r="E46" i="13"/>
  <c r="A46" i="13"/>
  <c r="E36" i="13" s="1"/>
  <c r="W45" i="13"/>
  <c r="V45" i="13"/>
  <c r="U45" i="13"/>
  <c r="N45" i="13"/>
  <c r="M45" i="13"/>
  <c r="K45" i="13"/>
  <c r="I45" i="13"/>
  <c r="H45" i="13"/>
  <c r="O45" i="13" s="1" a="1"/>
  <c r="O45" i="13" s="1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H31" i="13" s="1"/>
  <c r="W43" i="13"/>
  <c r="V43" i="13"/>
  <c r="U43" i="13"/>
  <c r="N43" i="13"/>
  <c r="M43" i="13"/>
  <c r="K43" i="13"/>
  <c r="I43" i="13"/>
  <c r="H43" i="13"/>
  <c r="F43" i="13"/>
  <c r="E43" i="13"/>
  <c r="A43" i="13"/>
  <c r="E20" i="13" s="1"/>
  <c r="W42" i="13"/>
  <c r="V42" i="13"/>
  <c r="U42" i="13"/>
  <c r="N42" i="13"/>
  <c r="M42" i="13"/>
  <c r="O42" i="13" s="1" a="1"/>
  <c r="O42" i="13" s="1"/>
  <c r="K42" i="13"/>
  <c r="I42" i="13"/>
  <c r="H42" i="13"/>
  <c r="F42" i="13"/>
  <c r="E42" i="13"/>
  <c r="A42" i="13"/>
  <c r="E28" i="13" s="1"/>
  <c r="W41" i="13"/>
  <c r="V41" i="13"/>
  <c r="U41" i="13"/>
  <c r="N41" i="13"/>
  <c r="M41" i="13"/>
  <c r="K41" i="13"/>
  <c r="I41" i="13"/>
  <c r="H41" i="13"/>
  <c r="F41" i="13"/>
  <c r="S41" i="13" s="1"/>
  <c r="E41" i="13"/>
  <c r="O41" i="13" s="1" a="1"/>
  <c r="O41" i="13" s="1"/>
  <c r="A41" i="13"/>
  <c r="H18" i="13" s="1"/>
  <c r="M38" i="13"/>
  <c r="H38" i="13"/>
  <c r="E38" i="13"/>
  <c r="M37" i="13"/>
  <c r="M36" i="13"/>
  <c r="H36" i="13"/>
  <c r="M35" i="13"/>
  <c r="E35" i="13"/>
  <c r="M34" i="13"/>
  <c r="M33" i="13"/>
  <c r="M32" i="13"/>
  <c r="M31" i="13"/>
  <c r="E31" i="13"/>
  <c r="M30" i="13"/>
  <c r="M29" i="13"/>
  <c r="E29" i="13"/>
  <c r="M28" i="13"/>
  <c r="H28" i="13"/>
  <c r="M27" i="13"/>
  <c r="E27" i="13"/>
  <c r="M26" i="13"/>
  <c r="H26" i="13"/>
  <c r="M25" i="13"/>
  <c r="M24" i="13"/>
  <c r="H24" i="13"/>
  <c r="M23" i="13"/>
  <c r="E23" i="13"/>
  <c r="M22" i="13"/>
  <c r="H22" i="13"/>
  <c r="M21" i="13"/>
  <c r="M20" i="13"/>
  <c r="H20" i="13"/>
  <c r="M19" i="13"/>
  <c r="E19" i="13"/>
  <c r="M18" i="13"/>
  <c r="E18" i="13"/>
  <c r="M17" i="13"/>
  <c r="M16" i="13"/>
  <c r="E16" i="13"/>
  <c r="M15" i="13"/>
  <c r="E15" i="13"/>
  <c r="M14" i="13"/>
  <c r="H14" i="13"/>
  <c r="M13" i="13"/>
  <c r="M12" i="13"/>
  <c r="H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R47" i="12" s="1"/>
  <c r="E47" i="12"/>
  <c r="A47" i="12"/>
  <c r="W46" i="12"/>
  <c r="V46" i="12"/>
  <c r="U46" i="12"/>
  <c r="N46" i="12"/>
  <c r="M46" i="12"/>
  <c r="K46" i="12"/>
  <c r="I46" i="12"/>
  <c r="H46" i="12"/>
  <c r="F46" i="12"/>
  <c r="E46" i="12"/>
  <c r="A46" i="12"/>
  <c r="W45" i="12"/>
  <c r="V45" i="12"/>
  <c r="U45" i="12"/>
  <c r="N45" i="12"/>
  <c r="M45" i="12"/>
  <c r="K45" i="12"/>
  <c r="I45" i="12"/>
  <c r="H45" i="12"/>
  <c r="F45" i="12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E44" i="12"/>
  <c r="A44" i="12"/>
  <c r="H31" i="12" s="1"/>
  <c r="W43" i="12"/>
  <c r="V43" i="12"/>
  <c r="U43" i="12"/>
  <c r="N43" i="12"/>
  <c r="M43" i="12"/>
  <c r="K43" i="12"/>
  <c r="I43" i="12"/>
  <c r="H43" i="12"/>
  <c r="F43" i="12"/>
  <c r="E43" i="12"/>
  <c r="A43" i="12"/>
  <c r="E20" i="12" s="1"/>
  <c r="W42" i="12"/>
  <c r="V42" i="12"/>
  <c r="U42" i="12"/>
  <c r="N42" i="12"/>
  <c r="M42" i="12"/>
  <c r="K42" i="12"/>
  <c r="I42" i="12"/>
  <c r="H42" i="12"/>
  <c r="F42" i="12"/>
  <c r="E42" i="12"/>
  <c r="T42" i="12" s="1"/>
  <c r="A42" i="12"/>
  <c r="E28" i="12" s="1"/>
  <c r="W41" i="12"/>
  <c r="V41" i="12"/>
  <c r="U41" i="12"/>
  <c r="N41" i="12"/>
  <c r="M41" i="12"/>
  <c r="K41" i="12"/>
  <c r="O41" i="12" s="1" a="1"/>
  <c r="O41" i="12" s="1"/>
  <c r="I41" i="12"/>
  <c r="H41" i="12"/>
  <c r="F41" i="12"/>
  <c r="E41" i="12"/>
  <c r="A41" i="12"/>
  <c r="H36" i="12" s="1"/>
  <c r="M38" i="12"/>
  <c r="H38" i="12"/>
  <c r="E38" i="12"/>
  <c r="M37" i="12"/>
  <c r="M36" i="12"/>
  <c r="E36" i="12"/>
  <c r="M35" i="12"/>
  <c r="E35" i="12"/>
  <c r="M34" i="12"/>
  <c r="M33" i="12"/>
  <c r="H33" i="12"/>
  <c r="E33" i="12"/>
  <c r="M32" i="12"/>
  <c r="H32" i="12"/>
  <c r="M31" i="12"/>
  <c r="E31" i="12"/>
  <c r="M30" i="12"/>
  <c r="E30" i="12"/>
  <c r="M29" i="12"/>
  <c r="E29" i="12"/>
  <c r="M28" i="12"/>
  <c r="H28" i="12"/>
  <c r="M27" i="12"/>
  <c r="H27" i="12"/>
  <c r="E27" i="12"/>
  <c r="M26" i="12"/>
  <c r="H26" i="12"/>
  <c r="M25" i="12"/>
  <c r="H25" i="12"/>
  <c r="E25" i="12"/>
  <c r="M24" i="12"/>
  <c r="H24" i="12"/>
  <c r="E24" i="12"/>
  <c r="M23" i="12"/>
  <c r="E23" i="12"/>
  <c r="M22" i="12"/>
  <c r="H22" i="12"/>
  <c r="E22" i="12"/>
  <c r="M21" i="12"/>
  <c r="H21" i="12"/>
  <c r="M20" i="12"/>
  <c r="H20" i="12"/>
  <c r="M19" i="12"/>
  <c r="E19" i="12"/>
  <c r="M18" i="12"/>
  <c r="E18" i="12"/>
  <c r="M17" i="12"/>
  <c r="H17" i="12"/>
  <c r="E17" i="12"/>
  <c r="M16" i="12"/>
  <c r="E16" i="12"/>
  <c r="M15" i="12"/>
  <c r="H15" i="12"/>
  <c r="E15" i="12"/>
  <c r="M14" i="12"/>
  <c r="H14" i="12"/>
  <c r="E14" i="12"/>
  <c r="M13" i="12"/>
  <c r="H13" i="12"/>
  <c r="M12" i="12"/>
  <c r="H12" i="12"/>
  <c r="M11" i="12"/>
  <c r="H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S47" i="11"/>
  <c r="N47" i="11"/>
  <c r="M47" i="11"/>
  <c r="K47" i="11"/>
  <c r="I47" i="11"/>
  <c r="H47" i="11"/>
  <c r="F47" i="11"/>
  <c r="E47" i="11"/>
  <c r="A47" i="11"/>
  <c r="E30" i="11" s="1"/>
  <c r="W46" i="11"/>
  <c r="V46" i="11"/>
  <c r="U46" i="11"/>
  <c r="N46" i="11"/>
  <c r="M46" i="11"/>
  <c r="K46" i="11"/>
  <c r="I46" i="11"/>
  <c r="H46" i="11"/>
  <c r="F46" i="11"/>
  <c r="E46" i="11"/>
  <c r="A46" i="11"/>
  <c r="W45" i="11"/>
  <c r="V45" i="11"/>
  <c r="U45" i="11"/>
  <c r="N45" i="11"/>
  <c r="M45" i="11"/>
  <c r="K45" i="11"/>
  <c r="I45" i="11"/>
  <c r="H45" i="11"/>
  <c r="F45" i="11"/>
  <c r="E45" i="11"/>
  <c r="O45" i="11" s="1" a="1"/>
  <c r="O45" i="11" s="1"/>
  <c r="A45" i="11"/>
  <c r="H30" i="11" s="1"/>
  <c r="W44" i="11"/>
  <c r="V44" i="11"/>
  <c r="U44" i="11"/>
  <c r="N44" i="11"/>
  <c r="M44" i="11"/>
  <c r="K44" i="11"/>
  <c r="I44" i="11"/>
  <c r="H44" i="11"/>
  <c r="F44" i="11"/>
  <c r="O44" i="11" s="1" a="1"/>
  <c r="O44" i="11" s="1"/>
  <c r="E44" i="11"/>
  <c r="A44" i="11"/>
  <c r="E29" i="11" s="1"/>
  <c r="W43" i="11"/>
  <c r="V43" i="11"/>
  <c r="U43" i="11"/>
  <c r="N43" i="11"/>
  <c r="M43" i="11"/>
  <c r="K43" i="11"/>
  <c r="I43" i="11"/>
  <c r="H43" i="11"/>
  <c r="F43" i="11"/>
  <c r="E43" i="11"/>
  <c r="S43" i="11" s="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T42" i="11" s="1"/>
  <c r="A42" i="11"/>
  <c r="H37" i="11" s="1"/>
  <c r="W41" i="11"/>
  <c r="V41" i="11"/>
  <c r="U41" i="11"/>
  <c r="N41" i="11"/>
  <c r="M41" i="11"/>
  <c r="K41" i="11"/>
  <c r="O41" i="11" s="1" a="1"/>
  <c r="O41" i="11" s="1"/>
  <c r="I41" i="11"/>
  <c r="H41" i="11"/>
  <c r="F41" i="11"/>
  <c r="E41" i="11"/>
  <c r="A41" i="11"/>
  <c r="E11" i="11" s="1"/>
  <c r="M38" i="11"/>
  <c r="E38" i="11"/>
  <c r="M37" i="11"/>
  <c r="M36" i="11"/>
  <c r="E36" i="11"/>
  <c r="M35" i="11"/>
  <c r="E35" i="11"/>
  <c r="M34" i="11"/>
  <c r="M33" i="11"/>
  <c r="H33" i="11"/>
  <c r="E33" i="11"/>
  <c r="M32" i="11"/>
  <c r="M31" i="11"/>
  <c r="E31" i="11"/>
  <c r="M30" i="11"/>
  <c r="M29" i="11"/>
  <c r="M28" i="11"/>
  <c r="H28" i="11"/>
  <c r="E28" i="11"/>
  <c r="M27" i="11"/>
  <c r="H27" i="11"/>
  <c r="M26" i="11"/>
  <c r="H26" i="11"/>
  <c r="M25" i="11"/>
  <c r="E25" i="11"/>
  <c r="M24" i="11"/>
  <c r="H24" i="11"/>
  <c r="E24" i="11"/>
  <c r="M23" i="11"/>
  <c r="M22" i="11"/>
  <c r="H22" i="11"/>
  <c r="E22" i="11"/>
  <c r="M21" i="11"/>
  <c r="M20" i="11"/>
  <c r="M19" i="11"/>
  <c r="H19" i="11"/>
  <c r="E19" i="11"/>
  <c r="M18" i="11"/>
  <c r="E18" i="11"/>
  <c r="M17" i="11"/>
  <c r="E17" i="11"/>
  <c r="M16" i="11"/>
  <c r="E16" i="11"/>
  <c r="M15" i="11"/>
  <c r="H15" i="11"/>
  <c r="E15" i="11"/>
  <c r="M14" i="11"/>
  <c r="H14" i="11"/>
  <c r="M13" i="11"/>
  <c r="H13" i="11"/>
  <c r="M12" i="11"/>
  <c r="H12" i="11"/>
  <c r="M11" i="11"/>
  <c r="H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S48" i="10" s="1"/>
  <c r="A48" i="10"/>
  <c r="W47" i="10"/>
  <c r="V47" i="10"/>
  <c r="U47" i="10"/>
  <c r="N47" i="10"/>
  <c r="M47" i="10"/>
  <c r="K47" i="10"/>
  <c r="I47" i="10"/>
  <c r="H47" i="10"/>
  <c r="F47" i="10"/>
  <c r="E47" i="10"/>
  <c r="A47" i="10"/>
  <c r="H17" i="10" s="1"/>
  <c r="W46" i="10"/>
  <c r="V46" i="10"/>
  <c r="U46" i="10"/>
  <c r="N46" i="10"/>
  <c r="M46" i="10"/>
  <c r="K46" i="10"/>
  <c r="I46" i="10"/>
  <c r="H46" i="10"/>
  <c r="F46" i="10"/>
  <c r="E46" i="10"/>
  <c r="T46" i="10" s="1"/>
  <c r="A46" i="10"/>
  <c r="E36" i="10" s="1"/>
  <c r="W45" i="10"/>
  <c r="V45" i="10"/>
  <c r="U45" i="10"/>
  <c r="N45" i="10"/>
  <c r="M45" i="10"/>
  <c r="K45" i="10"/>
  <c r="O45" i="10" s="1" a="1"/>
  <c r="O45" i="10" s="1"/>
  <c r="I45" i="10"/>
  <c r="H45" i="10"/>
  <c r="F45" i="10"/>
  <c r="E45" i="10"/>
  <c r="A45" i="10"/>
  <c r="H20" i="10" s="1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E43" i="10"/>
  <c r="A43" i="10"/>
  <c r="E27" i="10" s="1"/>
  <c r="W42" i="10"/>
  <c r="V42" i="10"/>
  <c r="U42" i="10"/>
  <c r="N42" i="10"/>
  <c r="M42" i="10"/>
  <c r="O42" i="10" s="1" a="1"/>
  <c r="O42" i="10" s="1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Q41" i="10" s="1"/>
  <c r="E41" i="10"/>
  <c r="A41" i="10"/>
  <c r="E34" i="10" s="1"/>
  <c r="M38" i="10"/>
  <c r="E38" i="10"/>
  <c r="M37" i="10"/>
  <c r="M36" i="10"/>
  <c r="H36" i="10"/>
  <c r="M34" i="10"/>
  <c r="M33" i="10"/>
  <c r="H33" i="10"/>
  <c r="M32" i="10"/>
  <c r="H32" i="10"/>
  <c r="E32" i="10"/>
  <c r="M30" i="10"/>
  <c r="E30" i="10"/>
  <c r="M29" i="10"/>
  <c r="M27" i="10"/>
  <c r="M25" i="10"/>
  <c r="H25" i="10"/>
  <c r="E25" i="10"/>
  <c r="M24" i="10"/>
  <c r="H24" i="10"/>
  <c r="M23" i="10"/>
  <c r="H23" i="10"/>
  <c r="M21" i="10"/>
  <c r="M20" i="10"/>
  <c r="E20" i="10"/>
  <c r="M19" i="10"/>
  <c r="M17" i="10"/>
  <c r="E17" i="10"/>
  <c r="M16" i="10"/>
  <c r="M15" i="10"/>
  <c r="H15" i="10"/>
  <c r="E15" i="10"/>
  <c r="M13" i="10"/>
  <c r="H13" i="10"/>
  <c r="M12" i="10"/>
  <c r="E12" i="10"/>
  <c r="M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A48" i="9"/>
  <c r="W47" i="9"/>
  <c r="V47" i="9"/>
  <c r="U47" i="9"/>
  <c r="N47" i="9"/>
  <c r="M47" i="9"/>
  <c r="K47" i="9"/>
  <c r="I47" i="9"/>
  <c r="H47" i="9"/>
  <c r="F47" i="9"/>
  <c r="E47" i="9"/>
  <c r="S47" i="9" s="1"/>
  <c r="A47" i="9"/>
  <c r="H25" i="9" s="1"/>
  <c r="W46" i="9"/>
  <c r="V46" i="9"/>
  <c r="U46" i="9"/>
  <c r="N46" i="9"/>
  <c r="M46" i="9"/>
  <c r="K46" i="9"/>
  <c r="I46" i="9"/>
  <c r="H46" i="9"/>
  <c r="F46" i="9"/>
  <c r="E46" i="9"/>
  <c r="A46" i="9"/>
  <c r="H27" i="9" s="1"/>
  <c r="W45" i="9"/>
  <c r="V45" i="9"/>
  <c r="U45" i="9"/>
  <c r="N45" i="9"/>
  <c r="M45" i="9"/>
  <c r="K45" i="9"/>
  <c r="I45" i="9"/>
  <c r="H45" i="9"/>
  <c r="F45" i="9"/>
  <c r="E45" i="9"/>
  <c r="O45" i="9" s="1" a="1"/>
  <c r="O45" i="9" s="1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W43" i="9"/>
  <c r="V43" i="9"/>
  <c r="U43" i="9"/>
  <c r="N43" i="9"/>
  <c r="M43" i="9"/>
  <c r="K43" i="9"/>
  <c r="I43" i="9"/>
  <c r="S43" i="9" s="1"/>
  <c r="H43" i="9"/>
  <c r="F43" i="9"/>
  <c r="E43" i="9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19" i="9" s="1"/>
  <c r="W41" i="9"/>
  <c r="V41" i="9"/>
  <c r="U41" i="9"/>
  <c r="N41" i="9"/>
  <c r="M41" i="9"/>
  <c r="K41" i="9"/>
  <c r="I41" i="9"/>
  <c r="H41" i="9"/>
  <c r="F41" i="9"/>
  <c r="E41" i="9"/>
  <c r="O41" i="9" s="1" a="1"/>
  <c r="O41" i="9" s="1"/>
  <c r="A41" i="9"/>
  <c r="H29" i="9" s="1"/>
  <c r="M38" i="9"/>
  <c r="H38" i="9"/>
  <c r="E38" i="9"/>
  <c r="M37" i="9"/>
  <c r="H37" i="9"/>
  <c r="M36" i="9"/>
  <c r="E36" i="9"/>
  <c r="M34" i="9"/>
  <c r="M33" i="9"/>
  <c r="H33" i="9"/>
  <c r="E33" i="9"/>
  <c r="M32" i="9"/>
  <c r="H32" i="9"/>
  <c r="E32" i="9"/>
  <c r="M30" i="9"/>
  <c r="M29" i="9"/>
  <c r="E29" i="9"/>
  <c r="M27" i="9"/>
  <c r="M25" i="9"/>
  <c r="E25" i="9"/>
  <c r="M24" i="9"/>
  <c r="H24" i="9"/>
  <c r="E24" i="9"/>
  <c r="M23" i="9"/>
  <c r="M21" i="9"/>
  <c r="H21" i="9"/>
  <c r="M20" i="9"/>
  <c r="E20" i="9"/>
  <c r="M19" i="9"/>
  <c r="E19" i="9"/>
  <c r="M17" i="9"/>
  <c r="H17" i="9"/>
  <c r="E17" i="9"/>
  <c r="M16" i="9"/>
  <c r="E16" i="9"/>
  <c r="M15" i="9"/>
  <c r="H15" i="9"/>
  <c r="E15" i="9"/>
  <c r="M13" i="9"/>
  <c r="H13" i="9"/>
  <c r="M12" i="9"/>
  <c r="H12" i="9"/>
  <c r="E12" i="9"/>
  <c r="M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E47" i="8"/>
  <c r="R47" i="8" s="1"/>
  <c r="A47" i="8"/>
  <c r="E30" i="8" s="1"/>
  <c r="W46" i="8"/>
  <c r="V46" i="8"/>
  <c r="U46" i="8"/>
  <c r="N46" i="8"/>
  <c r="M46" i="8"/>
  <c r="K46" i="8"/>
  <c r="I46" i="8"/>
  <c r="H46" i="8"/>
  <c r="F46" i="8"/>
  <c r="S46" i="8" s="1"/>
  <c r="E46" i="8"/>
  <c r="A46" i="8"/>
  <c r="H33" i="8" s="1"/>
  <c r="W45" i="8"/>
  <c r="V45" i="8"/>
  <c r="U45" i="8"/>
  <c r="N45" i="8"/>
  <c r="M45" i="8"/>
  <c r="K45" i="8"/>
  <c r="I45" i="8"/>
  <c r="H45" i="8"/>
  <c r="F45" i="8"/>
  <c r="E45" i="8"/>
  <c r="A45" i="8"/>
  <c r="H34" i="8" s="1"/>
  <c r="W44" i="8"/>
  <c r="V44" i="8"/>
  <c r="U44" i="8"/>
  <c r="N44" i="8"/>
  <c r="M44" i="8"/>
  <c r="K44" i="8"/>
  <c r="I44" i="8"/>
  <c r="H44" i="8"/>
  <c r="F44" i="8"/>
  <c r="E44" i="8"/>
  <c r="A44" i="8"/>
  <c r="H24" i="8" s="1"/>
  <c r="W43" i="8"/>
  <c r="V43" i="8"/>
  <c r="U43" i="8"/>
  <c r="N43" i="8"/>
  <c r="M43" i="8"/>
  <c r="K43" i="8"/>
  <c r="I43" i="8"/>
  <c r="H43" i="8"/>
  <c r="S43" i="8" s="1"/>
  <c r="F43" i="8"/>
  <c r="E43" i="8"/>
  <c r="A43" i="8"/>
  <c r="E27" i="8" s="1"/>
  <c r="W42" i="8"/>
  <c r="V42" i="8"/>
  <c r="U42" i="8"/>
  <c r="N42" i="8"/>
  <c r="M42" i="8"/>
  <c r="K42" i="8"/>
  <c r="I42" i="8"/>
  <c r="H42" i="8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T41" i="8" s="1"/>
  <c r="A41" i="8"/>
  <c r="E34" i="8" s="1"/>
  <c r="M38" i="8"/>
  <c r="M37" i="8"/>
  <c r="M36" i="8"/>
  <c r="H36" i="8"/>
  <c r="E36" i="8"/>
  <c r="M34" i="8"/>
  <c r="M33" i="8"/>
  <c r="M32" i="8"/>
  <c r="H32" i="8"/>
  <c r="E32" i="8"/>
  <c r="M30" i="8"/>
  <c r="H30" i="8"/>
  <c r="M29" i="8"/>
  <c r="M27" i="8"/>
  <c r="H27" i="8"/>
  <c r="M25" i="8"/>
  <c r="H25" i="8"/>
  <c r="E25" i="8"/>
  <c r="M24" i="8"/>
  <c r="M23" i="8"/>
  <c r="M21" i="8"/>
  <c r="H21" i="8"/>
  <c r="M20" i="8"/>
  <c r="H20" i="8"/>
  <c r="E20" i="8"/>
  <c r="M19" i="8"/>
  <c r="M17" i="8"/>
  <c r="H17" i="8"/>
  <c r="E17" i="8"/>
  <c r="M16" i="8"/>
  <c r="M15" i="8"/>
  <c r="H15" i="8"/>
  <c r="E15" i="8"/>
  <c r="M13" i="8"/>
  <c r="H13" i="8"/>
  <c r="E13" i="8"/>
  <c r="M12" i="8"/>
  <c r="E12" i="8"/>
  <c r="M11" i="8"/>
  <c r="H11" i="8"/>
  <c r="N8" i="8"/>
  <c r="K8" i="8"/>
  <c r="E8" i="8"/>
  <c r="A8" i="8"/>
  <c r="W48" i="7"/>
  <c r="V48" i="7"/>
  <c r="U48" i="7"/>
  <c r="N48" i="7"/>
  <c r="M48" i="7"/>
  <c r="K48" i="7"/>
  <c r="Q48" i="7" s="1"/>
  <c r="I48" i="7"/>
  <c r="H48" i="7"/>
  <c r="F48" i="7"/>
  <c r="E48" i="7"/>
  <c r="A48" i="7"/>
  <c r="H26" i="7" s="1"/>
  <c r="W47" i="7"/>
  <c r="V47" i="7"/>
  <c r="U47" i="7"/>
  <c r="N47" i="7"/>
  <c r="M47" i="7"/>
  <c r="K47" i="7"/>
  <c r="I47" i="7"/>
  <c r="H47" i="7"/>
  <c r="F47" i="7"/>
  <c r="E47" i="7"/>
  <c r="A47" i="7"/>
  <c r="H32" i="7" s="1"/>
  <c r="W46" i="7"/>
  <c r="V46" i="7"/>
  <c r="U46" i="7"/>
  <c r="N46" i="7"/>
  <c r="M46" i="7"/>
  <c r="K46" i="7"/>
  <c r="I46" i="7"/>
  <c r="H46" i="7"/>
  <c r="F46" i="7"/>
  <c r="E46" i="7"/>
  <c r="A46" i="7"/>
  <c r="W45" i="7"/>
  <c r="V45" i="7"/>
  <c r="U45" i="7"/>
  <c r="N45" i="7"/>
  <c r="M45" i="7"/>
  <c r="K45" i="7"/>
  <c r="I45" i="7"/>
  <c r="H45" i="7"/>
  <c r="F45" i="7"/>
  <c r="E45" i="7"/>
  <c r="O45" i="7" s="1" a="1"/>
  <c r="O45" i="7" s="1"/>
  <c r="A45" i="7"/>
  <c r="H30" i="7" s="1"/>
  <c r="W44" i="7"/>
  <c r="V44" i="7"/>
  <c r="U44" i="7"/>
  <c r="N44" i="7"/>
  <c r="M44" i="7"/>
  <c r="K44" i="7"/>
  <c r="I44" i="7"/>
  <c r="H44" i="7"/>
  <c r="F44" i="7"/>
  <c r="O44" i="7" s="1" a="1"/>
  <c r="O44" i="7" s="1"/>
  <c r="E44" i="7"/>
  <c r="A44" i="7"/>
  <c r="H31" i="7" s="1"/>
  <c r="W43" i="7"/>
  <c r="V43" i="7"/>
  <c r="U43" i="7"/>
  <c r="N43" i="7"/>
  <c r="M43" i="7"/>
  <c r="K43" i="7"/>
  <c r="I43" i="7"/>
  <c r="H43" i="7"/>
  <c r="F43" i="7"/>
  <c r="E43" i="7"/>
  <c r="A43" i="7"/>
  <c r="H23" i="7" s="1"/>
  <c r="W42" i="7"/>
  <c r="V42" i="7"/>
  <c r="U42" i="7"/>
  <c r="N42" i="7"/>
  <c r="M42" i="7"/>
  <c r="K42" i="7"/>
  <c r="I42" i="7"/>
  <c r="H42" i="7"/>
  <c r="F42" i="7"/>
  <c r="E42" i="7"/>
  <c r="A42" i="7"/>
  <c r="E28" i="7" s="1"/>
  <c r="W41" i="7"/>
  <c r="V41" i="7"/>
  <c r="U41" i="7"/>
  <c r="N41" i="7"/>
  <c r="M41" i="7"/>
  <c r="K41" i="7"/>
  <c r="I41" i="7"/>
  <c r="H41" i="7"/>
  <c r="F41" i="7"/>
  <c r="O41" i="7" s="1" a="1"/>
  <c r="O41" i="7" s="1"/>
  <c r="E41" i="7"/>
  <c r="A41" i="7"/>
  <c r="H36" i="7" s="1"/>
  <c r="M38" i="7"/>
  <c r="M37" i="7"/>
  <c r="M36" i="7"/>
  <c r="E36" i="7"/>
  <c r="M35" i="7"/>
  <c r="E35" i="7"/>
  <c r="M34" i="7"/>
  <c r="M33" i="7"/>
  <c r="H33" i="7"/>
  <c r="M32" i="7"/>
  <c r="M31" i="7"/>
  <c r="M30" i="7"/>
  <c r="E30" i="7"/>
  <c r="M29" i="7"/>
  <c r="E29" i="7"/>
  <c r="M28" i="7"/>
  <c r="M27" i="7"/>
  <c r="H27" i="7"/>
  <c r="M26" i="7"/>
  <c r="M25" i="7"/>
  <c r="M24" i="7"/>
  <c r="E24" i="7"/>
  <c r="M23" i="7"/>
  <c r="M22" i="7"/>
  <c r="E22" i="7"/>
  <c r="M21" i="7"/>
  <c r="M20" i="7"/>
  <c r="H20" i="7"/>
  <c r="E20" i="7"/>
  <c r="M19" i="7"/>
  <c r="M18" i="7"/>
  <c r="E18" i="7"/>
  <c r="M17" i="7"/>
  <c r="E17" i="7"/>
  <c r="M16" i="7"/>
  <c r="E16" i="7"/>
  <c r="M15" i="7"/>
  <c r="M14" i="7"/>
  <c r="E14" i="7"/>
  <c r="M13" i="7"/>
  <c r="H13" i="7"/>
  <c r="M12" i="7"/>
  <c r="E12" i="7"/>
  <c r="M11" i="7"/>
  <c r="N8" i="7"/>
  <c r="K8" i="7"/>
  <c r="E8" i="7"/>
  <c r="A8" i="7"/>
  <c r="W48" i="6"/>
  <c r="V48" i="6"/>
  <c r="U48" i="6"/>
  <c r="N48" i="6"/>
  <c r="M48" i="6"/>
  <c r="K48" i="6"/>
  <c r="I48" i="6"/>
  <c r="H48" i="6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H32" i="6" s="1"/>
  <c r="W46" i="6"/>
  <c r="V46" i="6"/>
  <c r="U46" i="6"/>
  <c r="N46" i="6"/>
  <c r="M46" i="6"/>
  <c r="K46" i="6"/>
  <c r="I46" i="6"/>
  <c r="H46" i="6"/>
  <c r="F46" i="6"/>
  <c r="E46" i="6"/>
  <c r="A46" i="6"/>
  <c r="E36" i="6" s="1"/>
  <c r="W45" i="6"/>
  <c r="V45" i="6"/>
  <c r="U45" i="6"/>
  <c r="O45" i="6" a="1"/>
  <c r="O45" i="6" s="1"/>
  <c r="N45" i="6"/>
  <c r="M45" i="6"/>
  <c r="K45" i="6"/>
  <c r="I45" i="6"/>
  <c r="H45" i="6"/>
  <c r="F45" i="6"/>
  <c r="E45" i="6"/>
  <c r="A45" i="6"/>
  <c r="H20" i="6" s="1"/>
  <c r="W44" i="6"/>
  <c r="V44" i="6"/>
  <c r="U44" i="6"/>
  <c r="N44" i="6"/>
  <c r="M44" i="6"/>
  <c r="K44" i="6"/>
  <c r="I44" i="6"/>
  <c r="H44" i="6"/>
  <c r="F44" i="6"/>
  <c r="E44" i="6"/>
  <c r="A44" i="6"/>
  <c r="W43" i="6"/>
  <c r="V43" i="6"/>
  <c r="U43" i="6"/>
  <c r="N43" i="6"/>
  <c r="M43" i="6"/>
  <c r="K43" i="6"/>
  <c r="I43" i="6"/>
  <c r="H43" i="6"/>
  <c r="F43" i="6"/>
  <c r="E43" i="6"/>
  <c r="S43" i="6" s="1"/>
  <c r="A43" i="6"/>
  <c r="E32" i="6" s="1"/>
  <c r="W42" i="6"/>
  <c r="V42" i="6"/>
  <c r="U42" i="6"/>
  <c r="N42" i="6"/>
  <c r="M42" i="6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O41" i="6" s="1" a="1"/>
  <c r="O41" i="6" s="1"/>
  <c r="A41" i="6"/>
  <c r="E23" i="6" s="1"/>
  <c r="M38" i="6"/>
  <c r="H38" i="6"/>
  <c r="M37" i="6"/>
  <c r="M36" i="6"/>
  <c r="M34" i="6"/>
  <c r="M33" i="6"/>
  <c r="H33" i="6"/>
  <c r="M32" i="6"/>
  <c r="M30" i="6"/>
  <c r="E30" i="6"/>
  <c r="M29" i="6"/>
  <c r="E29" i="6"/>
  <c r="M27" i="6"/>
  <c r="M25" i="6"/>
  <c r="H25" i="6"/>
  <c r="M24" i="6"/>
  <c r="H24" i="6"/>
  <c r="M23" i="6"/>
  <c r="M21" i="6"/>
  <c r="H21" i="6"/>
  <c r="M20" i="6"/>
  <c r="M19" i="6"/>
  <c r="E19" i="6"/>
  <c r="M17" i="6"/>
  <c r="H17" i="6"/>
  <c r="E17" i="6"/>
  <c r="M16" i="6"/>
  <c r="E16" i="6"/>
  <c r="M15" i="6"/>
  <c r="E15" i="6"/>
  <c r="M13" i="6"/>
  <c r="H13" i="6"/>
  <c r="M12" i="6"/>
  <c r="H12" i="6"/>
  <c r="E12" i="6"/>
  <c r="M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T46" i="5" s="1"/>
  <c r="A46" i="5"/>
  <c r="E36" i="5" s="1"/>
  <c r="W45" i="5"/>
  <c r="V45" i="5"/>
  <c r="U45" i="5"/>
  <c r="N45" i="5"/>
  <c r="M45" i="5"/>
  <c r="K45" i="5"/>
  <c r="O45" i="5" s="1" a="1"/>
  <c r="O45" i="5" s="1"/>
  <c r="I45" i="5"/>
  <c r="H45" i="5"/>
  <c r="F45" i="5"/>
  <c r="E45" i="5"/>
  <c r="A45" i="5"/>
  <c r="E37" i="5" s="1"/>
  <c r="W44" i="5"/>
  <c r="V44" i="5"/>
  <c r="U44" i="5"/>
  <c r="N44" i="5"/>
  <c r="M44" i="5"/>
  <c r="K44" i="5"/>
  <c r="I44" i="5"/>
  <c r="H44" i="5"/>
  <c r="F44" i="5"/>
  <c r="E44" i="5"/>
  <c r="A44" i="5"/>
  <c r="H31" i="5" s="1"/>
  <c r="W43" i="5"/>
  <c r="V43" i="5"/>
  <c r="U43" i="5"/>
  <c r="N43" i="5"/>
  <c r="M43" i="5"/>
  <c r="K43" i="5"/>
  <c r="I43" i="5"/>
  <c r="H43" i="5"/>
  <c r="F43" i="5"/>
  <c r="E43" i="5"/>
  <c r="S43" i="5" s="1"/>
  <c r="A43" i="5"/>
  <c r="H35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F41" i="5"/>
  <c r="E41" i="5"/>
  <c r="O41" i="5" s="1" a="1"/>
  <c r="O41" i="5" s="1"/>
  <c r="A41" i="5"/>
  <c r="E21" i="5" s="1"/>
  <c r="M38" i="5"/>
  <c r="E38" i="5"/>
  <c r="M37" i="5"/>
  <c r="M36" i="5"/>
  <c r="M35" i="5"/>
  <c r="E35" i="5"/>
  <c r="M34" i="5"/>
  <c r="M33" i="5"/>
  <c r="M32" i="5"/>
  <c r="H32" i="5"/>
  <c r="E32" i="5"/>
  <c r="M31" i="5"/>
  <c r="E31" i="5"/>
  <c r="M30" i="5"/>
  <c r="E30" i="5"/>
  <c r="M29" i="5"/>
  <c r="M28" i="5"/>
  <c r="H28" i="5"/>
  <c r="M27" i="5"/>
  <c r="E27" i="5"/>
  <c r="M26" i="5"/>
  <c r="H26" i="5"/>
  <c r="M25" i="5"/>
  <c r="H25" i="5"/>
  <c r="M24" i="5"/>
  <c r="M23" i="5"/>
  <c r="H23" i="5"/>
  <c r="E23" i="5"/>
  <c r="M22" i="5"/>
  <c r="H22" i="5"/>
  <c r="M21" i="5"/>
  <c r="H21" i="5"/>
  <c r="M20" i="5"/>
  <c r="H20" i="5"/>
  <c r="E20" i="5"/>
  <c r="M19" i="5"/>
  <c r="M18" i="5"/>
  <c r="E18" i="5"/>
  <c r="M17" i="5"/>
  <c r="H17" i="5"/>
  <c r="M16" i="5"/>
  <c r="M15" i="5"/>
  <c r="H15" i="5"/>
  <c r="E15" i="5"/>
  <c r="M14" i="5"/>
  <c r="H14" i="5"/>
  <c r="E14" i="5"/>
  <c r="M13" i="5"/>
  <c r="M12" i="5"/>
  <c r="E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H19" i="25" l="1"/>
  <c r="H11" i="25"/>
  <c r="E25" i="25"/>
  <c r="E15" i="25"/>
  <c r="E33" i="25"/>
  <c r="H24" i="5"/>
  <c r="Q46" i="5"/>
  <c r="T45" i="6"/>
  <c r="R47" i="6"/>
  <c r="H11" i="7"/>
  <c r="H14" i="7"/>
  <c r="H17" i="7"/>
  <c r="E27" i="7"/>
  <c r="E38" i="7"/>
  <c r="T42" i="7"/>
  <c r="S46" i="7"/>
  <c r="R47" i="7"/>
  <c r="Q41" i="8"/>
  <c r="O44" i="8" a="1"/>
  <c r="O44" i="8" s="1"/>
  <c r="O44" i="9" a="1"/>
  <c r="O44" i="9" s="1"/>
  <c r="S43" i="10"/>
  <c r="T44" i="10"/>
  <c r="Q46" i="10"/>
  <c r="H38" i="11"/>
  <c r="Q42" i="11"/>
  <c r="Q42" i="12"/>
  <c r="T45" i="12"/>
  <c r="O45" i="12" a="1"/>
  <c r="O45" i="12" s="1"/>
  <c r="T41" i="15"/>
  <c r="O41" i="15" a="1"/>
  <c r="O41" i="15" s="1"/>
  <c r="T41" i="22"/>
  <c r="O41" i="22" a="1"/>
  <c r="O41" i="22" s="1"/>
  <c r="O41" i="29" a="1"/>
  <c r="O41" i="29" s="1"/>
  <c r="T42" i="5"/>
  <c r="O44" i="5" a="1"/>
  <c r="O44" i="5" s="1"/>
  <c r="Q45" i="6"/>
  <c r="O46" i="6" a="1"/>
  <c r="O46" i="6" s="1"/>
  <c r="H24" i="7"/>
  <c r="E31" i="7"/>
  <c r="H38" i="7"/>
  <c r="R42" i="7"/>
  <c r="Q47" i="7"/>
  <c r="O45" i="8" a="1"/>
  <c r="O45" i="8" s="1"/>
  <c r="O47" i="8" a="1"/>
  <c r="O47" i="8" s="1"/>
  <c r="T42" i="9"/>
  <c r="O44" i="10" a="1"/>
  <c r="O44" i="10" s="1"/>
  <c r="H31" i="11"/>
  <c r="T45" i="11"/>
  <c r="R47" i="11"/>
  <c r="S45" i="12"/>
  <c r="H34" i="18"/>
  <c r="H16" i="18"/>
  <c r="E37" i="18"/>
  <c r="H20" i="18"/>
  <c r="H30" i="18"/>
  <c r="E13" i="18"/>
  <c r="H15" i="23"/>
  <c r="H23" i="23"/>
  <c r="E27" i="23"/>
  <c r="E32" i="23"/>
  <c r="E12" i="23"/>
  <c r="T45" i="24"/>
  <c r="O45" i="24" a="1"/>
  <c r="O45" i="24" s="1"/>
  <c r="X45" i="24" s="1"/>
  <c r="E27" i="26"/>
  <c r="E12" i="26"/>
  <c r="E20" i="26"/>
  <c r="E32" i="26"/>
  <c r="S41" i="27"/>
  <c r="O41" i="27" a="1"/>
  <c r="O41" i="27" s="1"/>
  <c r="H19" i="29"/>
  <c r="E25" i="29"/>
  <c r="H11" i="29"/>
  <c r="E33" i="29"/>
  <c r="E15" i="29"/>
  <c r="S47" i="29"/>
  <c r="E29" i="5"/>
  <c r="H38" i="5"/>
  <c r="Q42" i="5"/>
  <c r="S46" i="5"/>
  <c r="S41" i="6"/>
  <c r="R43" i="6"/>
  <c r="O47" i="6" a="1"/>
  <c r="O47" i="6" s="1"/>
  <c r="O48" i="6" a="1"/>
  <c r="O48" i="6" s="1"/>
  <c r="X48" i="6" s="1"/>
  <c r="E15" i="7"/>
  <c r="H21" i="7"/>
  <c r="T45" i="7"/>
  <c r="S41" i="8"/>
  <c r="R42" i="8"/>
  <c r="T46" i="8"/>
  <c r="Q47" i="8"/>
  <c r="S42" i="9"/>
  <c r="T45" i="9"/>
  <c r="R47" i="9"/>
  <c r="T42" i="10"/>
  <c r="S46" i="10"/>
  <c r="O47" i="10" a="1"/>
  <c r="O47" i="10" s="1"/>
  <c r="H25" i="11"/>
  <c r="S42" i="11"/>
  <c r="R45" i="11"/>
  <c r="S42" i="12"/>
  <c r="T48" i="12"/>
  <c r="Q48" i="12"/>
  <c r="T42" i="13"/>
  <c r="E16" i="20"/>
  <c r="H24" i="20"/>
  <c r="E29" i="20"/>
  <c r="E19" i="20"/>
  <c r="H38" i="20"/>
  <c r="T45" i="5"/>
  <c r="R47" i="5"/>
  <c r="H11" i="6"/>
  <c r="H15" i="6"/>
  <c r="Q41" i="6"/>
  <c r="O42" i="6" a="1"/>
  <c r="O42" i="6" s="1"/>
  <c r="T48" i="6"/>
  <c r="H12" i="7"/>
  <c r="H15" i="7"/>
  <c r="E25" i="7"/>
  <c r="H28" i="7"/>
  <c r="E32" i="7"/>
  <c r="H35" i="7"/>
  <c r="S42" i="7"/>
  <c r="R43" i="7"/>
  <c r="S47" i="7"/>
  <c r="O48" i="7" a="1"/>
  <c r="O48" i="7" s="1"/>
  <c r="E19" i="8"/>
  <c r="E38" i="8"/>
  <c r="S42" i="8"/>
  <c r="T45" i="8"/>
  <c r="S47" i="8"/>
  <c r="H11" i="9"/>
  <c r="H11" i="10"/>
  <c r="H21" i="10"/>
  <c r="H38" i="10"/>
  <c r="Q42" i="10"/>
  <c r="T45" i="10"/>
  <c r="R47" i="10"/>
  <c r="E14" i="11"/>
  <c r="E20" i="11"/>
  <c r="E23" i="11"/>
  <c r="E32" i="11"/>
  <c r="T41" i="11"/>
  <c r="R43" i="11"/>
  <c r="T41" i="12"/>
  <c r="R43" i="12"/>
  <c r="T46" i="12"/>
  <c r="E29" i="17"/>
  <c r="H38" i="17"/>
  <c r="H12" i="17"/>
  <c r="E16" i="17"/>
  <c r="O41" i="19" a="1"/>
  <c r="O41" i="19" s="1"/>
  <c r="E16" i="19"/>
  <c r="H24" i="19"/>
  <c r="E29" i="19"/>
  <c r="E19" i="19"/>
  <c r="H38" i="19"/>
  <c r="O46" i="23" a="1"/>
  <c r="O46" i="23" s="1"/>
  <c r="X46" i="23" s="1"/>
  <c r="H34" i="30"/>
  <c r="H16" i="30"/>
  <c r="E37" i="30"/>
  <c r="H20" i="30"/>
  <c r="H30" i="30"/>
  <c r="E13" i="30"/>
  <c r="E19" i="5"/>
  <c r="S42" i="5"/>
  <c r="R43" i="5"/>
  <c r="Q45" i="5"/>
  <c r="O46" i="5" a="1"/>
  <c r="O46" i="5" s="1"/>
  <c r="O43" i="6" a="1"/>
  <c r="O43" i="6" s="1"/>
  <c r="X43" i="6" s="1"/>
  <c r="T46" i="6"/>
  <c r="E19" i="7"/>
  <c r="H25" i="7"/>
  <c r="Q43" i="7"/>
  <c r="S48" i="7"/>
  <c r="H19" i="8"/>
  <c r="E24" i="8"/>
  <c r="E29" i="8"/>
  <c r="H38" i="8"/>
  <c r="Q45" i="8"/>
  <c r="E30" i="9"/>
  <c r="R43" i="9"/>
  <c r="T47" i="9"/>
  <c r="Q45" i="10"/>
  <c r="O46" i="10" a="1"/>
  <c r="O46" i="10" s="1"/>
  <c r="H17" i="11"/>
  <c r="H20" i="11"/>
  <c r="H23" i="11"/>
  <c r="H32" i="11"/>
  <c r="Q41" i="11"/>
  <c r="S45" i="11"/>
  <c r="O48" i="11" a="1"/>
  <c r="O48" i="11" s="1"/>
  <c r="E12" i="12"/>
  <c r="R41" i="12"/>
  <c r="S48" i="13"/>
  <c r="O41" i="14" a="1"/>
  <c r="O41" i="14" s="1"/>
  <c r="Q41" i="17"/>
  <c r="O41" i="17" a="1"/>
  <c r="O41" i="17" s="1"/>
  <c r="S47" i="20"/>
  <c r="O45" i="22" a="1"/>
  <c r="O45" i="22" s="1"/>
  <c r="H12" i="5"/>
  <c r="T41" i="5"/>
  <c r="Q43" i="5"/>
  <c r="S47" i="5"/>
  <c r="O48" i="5" a="1"/>
  <c r="O48" i="5" s="1"/>
  <c r="H19" i="7"/>
  <c r="H22" i="7"/>
  <c r="T41" i="7"/>
  <c r="T46" i="7"/>
  <c r="H12" i="8"/>
  <c r="E16" i="8"/>
  <c r="O41" i="8" a="1"/>
  <c r="O41" i="8" s="1"/>
  <c r="T43" i="8"/>
  <c r="O48" i="8" a="1"/>
  <c r="O48" i="8" s="1"/>
  <c r="X48" i="8" s="1"/>
  <c r="T41" i="9"/>
  <c r="Q43" i="9"/>
  <c r="O48" i="9" a="1"/>
  <c r="O48" i="9" s="1"/>
  <c r="X48" i="9" s="1"/>
  <c r="E29" i="10"/>
  <c r="O41" i="10" a="1"/>
  <c r="O41" i="10" s="1"/>
  <c r="S42" i="10"/>
  <c r="R43" i="10"/>
  <c r="S47" i="10"/>
  <c r="O48" i="10" a="1"/>
  <c r="O48" i="10" s="1"/>
  <c r="X48" i="10" s="1"/>
  <c r="T46" i="11"/>
  <c r="T48" i="11"/>
  <c r="S43" i="12"/>
  <c r="H32" i="14"/>
  <c r="H17" i="14"/>
  <c r="E14" i="14"/>
  <c r="H25" i="14"/>
  <c r="E38" i="14"/>
  <c r="S47" i="19"/>
  <c r="H33" i="21"/>
  <c r="E24" i="21"/>
  <c r="H27" i="21"/>
  <c r="H13" i="21"/>
  <c r="E17" i="21"/>
  <c r="O41" i="24" a="1"/>
  <c r="O41" i="24" s="1"/>
  <c r="X41" i="24" s="1"/>
  <c r="O41" i="25" a="1"/>
  <c r="O41" i="25" s="1"/>
  <c r="O45" i="27" a="1"/>
  <c r="O45" i="27" s="1"/>
  <c r="H20" i="28"/>
  <c r="H16" i="28"/>
  <c r="E37" i="28"/>
  <c r="E16" i="5"/>
  <c r="Q41" i="5"/>
  <c r="O42" i="5" a="1"/>
  <c r="O42" i="5" s="1"/>
  <c r="T48" i="5"/>
  <c r="T42" i="6"/>
  <c r="O44" i="6" a="1"/>
  <c r="O44" i="6" s="1"/>
  <c r="E33" i="7"/>
  <c r="S43" i="7"/>
  <c r="R44" i="7"/>
  <c r="R46" i="7"/>
  <c r="H16" i="8"/>
  <c r="T42" i="8"/>
  <c r="Q43" i="8"/>
  <c r="S45" i="8"/>
  <c r="R46" i="8"/>
  <c r="T46" i="9"/>
  <c r="Q48" i="9"/>
  <c r="T41" i="10"/>
  <c r="Q43" i="10"/>
  <c r="Q48" i="10"/>
  <c r="E12" i="11"/>
  <c r="H21" i="11"/>
  <c r="E27" i="11"/>
  <c r="S41" i="11"/>
  <c r="S46" i="11"/>
  <c r="S41" i="12"/>
  <c r="O44" i="12" a="1"/>
  <c r="O44" i="12" s="1"/>
  <c r="S43" i="13"/>
  <c r="H21" i="14"/>
  <c r="H37" i="14"/>
  <c r="H11" i="14"/>
  <c r="E28" i="14"/>
  <c r="E25" i="14"/>
  <c r="H19" i="14"/>
  <c r="O45" i="15" a="1"/>
  <c r="O45" i="15" s="1"/>
  <c r="E24" i="15"/>
  <c r="H13" i="15"/>
  <c r="H33" i="15"/>
  <c r="H27" i="15"/>
  <c r="E17" i="15"/>
  <c r="E36" i="15"/>
  <c r="E19" i="17"/>
  <c r="H24" i="17"/>
  <c r="S43" i="21"/>
  <c r="E36" i="22"/>
  <c r="H33" i="22"/>
  <c r="E24" i="22"/>
  <c r="H27" i="22"/>
  <c r="H13" i="22"/>
  <c r="E17" i="22"/>
  <c r="E24" i="27"/>
  <c r="H33" i="27"/>
  <c r="H13" i="27"/>
  <c r="H27" i="27"/>
  <c r="E17" i="27"/>
  <c r="O43" i="13" a="1"/>
  <c r="O43" i="13" s="1"/>
  <c r="T46" i="13"/>
  <c r="H15" i="14"/>
  <c r="T42" i="14"/>
  <c r="S46" i="14"/>
  <c r="O47" i="14" a="1"/>
  <c r="O47" i="14" s="1"/>
  <c r="E15" i="15"/>
  <c r="E30" i="15"/>
  <c r="S41" i="15"/>
  <c r="T46" i="15"/>
  <c r="T48" i="15"/>
  <c r="E33" i="16"/>
  <c r="Q42" i="16"/>
  <c r="T45" i="16"/>
  <c r="Q47" i="16"/>
  <c r="S43" i="17"/>
  <c r="S46" i="17"/>
  <c r="E34" i="18"/>
  <c r="T45" i="18"/>
  <c r="R47" i="18"/>
  <c r="S43" i="19"/>
  <c r="S46" i="19"/>
  <c r="R44" i="20"/>
  <c r="T43" i="21"/>
  <c r="T46" i="21"/>
  <c r="R48" i="21"/>
  <c r="H21" i="22"/>
  <c r="H25" i="22"/>
  <c r="H36" i="22"/>
  <c r="O42" i="22" a="1"/>
  <c r="O42" i="22" s="1"/>
  <c r="T46" i="22"/>
  <c r="Q48" i="22"/>
  <c r="E16" i="23"/>
  <c r="R43" i="23"/>
  <c r="O48" i="23" a="1"/>
  <c r="O48" i="23" s="1"/>
  <c r="X48" i="23" s="1"/>
  <c r="H11" i="24"/>
  <c r="E12" i="25"/>
  <c r="T42" i="25"/>
  <c r="O44" i="25" a="1"/>
  <c r="O44" i="25" s="1"/>
  <c r="S42" i="26"/>
  <c r="R43" i="26"/>
  <c r="Q45" i="26"/>
  <c r="T46" i="27"/>
  <c r="O48" i="27" a="1"/>
  <c r="O48" i="27" s="1"/>
  <c r="X48" i="27" s="1"/>
  <c r="H33" i="28"/>
  <c r="S44" i="28"/>
  <c r="T45" i="28"/>
  <c r="Q47" i="28"/>
  <c r="T42" i="29"/>
  <c r="O44" i="29" a="1"/>
  <c r="O44" i="29" s="1"/>
  <c r="H33" i="30"/>
  <c r="S44" i="30"/>
  <c r="T45" i="30"/>
  <c r="Q47" i="30"/>
  <c r="O48" i="12" a="1"/>
  <c r="O48" i="12" s="1"/>
  <c r="H32" i="13"/>
  <c r="R44" i="13"/>
  <c r="Q46" i="13"/>
  <c r="Q42" i="14"/>
  <c r="T45" i="14"/>
  <c r="R47" i="14"/>
  <c r="E25" i="15"/>
  <c r="S43" i="15"/>
  <c r="O44" i="17" a="1"/>
  <c r="O44" i="17" s="1"/>
  <c r="T43" i="18"/>
  <c r="Q45" i="18"/>
  <c r="O44" i="19" a="1"/>
  <c r="O44" i="19" s="1"/>
  <c r="T42" i="20"/>
  <c r="Q44" i="20"/>
  <c r="H17" i="21"/>
  <c r="H32" i="21"/>
  <c r="T44" i="21"/>
  <c r="T43" i="22"/>
  <c r="H12" i="23"/>
  <c r="T41" i="23"/>
  <c r="Q43" i="23"/>
  <c r="T46" i="23"/>
  <c r="T48" i="23"/>
  <c r="S42" i="24"/>
  <c r="R43" i="24"/>
  <c r="S47" i="24"/>
  <c r="O48" i="24" a="1"/>
  <c r="O48" i="24" s="1"/>
  <c r="X48" i="24" s="1"/>
  <c r="S46" i="25"/>
  <c r="R47" i="25"/>
  <c r="Q43" i="26"/>
  <c r="T48" i="26"/>
  <c r="H25" i="27"/>
  <c r="R45" i="28"/>
  <c r="H15" i="29"/>
  <c r="Q42" i="29"/>
  <c r="S46" i="29"/>
  <c r="O47" i="29" a="1"/>
  <c r="O47" i="29" s="1"/>
  <c r="Q45" i="30"/>
  <c r="O44" i="13" a="1"/>
  <c r="O44" i="13" s="1"/>
  <c r="S45" i="14"/>
  <c r="O44" i="15" a="1"/>
  <c r="O44" i="15" s="1"/>
  <c r="S42" i="16"/>
  <c r="R43" i="16"/>
  <c r="T47" i="16"/>
  <c r="T42" i="17"/>
  <c r="R47" i="17"/>
  <c r="T41" i="18"/>
  <c r="R43" i="18"/>
  <c r="R48" i="18"/>
  <c r="T42" i="19"/>
  <c r="R47" i="19"/>
  <c r="R47" i="20"/>
  <c r="T42" i="21"/>
  <c r="O44" i="21" a="1"/>
  <c r="O44" i="21" s="1"/>
  <c r="R44" i="22"/>
  <c r="S41" i="23"/>
  <c r="T41" i="24"/>
  <c r="Q43" i="24"/>
  <c r="Q48" i="24"/>
  <c r="T45" i="25"/>
  <c r="Q47" i="25"/>
  <c r="T41" i="26"/>
  <c r="S45" i="26"/>
  <c r="T46" i="26"/>
  <c r="T42" i="27"/>
  <c r="O44" i="27" a="1"/>
  <c r="O44" i="27" s="1"/>
  <c r="R43" i="28"/>
  <c r="S47" i="28"/>
  <c r="O48" i="28" a="1"/>
  <c r="O48" i="28" s="1"/>
  <c r="X48" i="28" s="1"/>
  <c r="T45" i="29"/>
  <c r="R47" i="29"/>
  <c r="O48" i="30" a="1"/>
  <c r="O48" i="30" s="1"/>
  <c r="X48" i="30" s="1"/>
  <c r="Q46" i="12"/>
  <c r="H17" i="13"/>
  <c r="H21" i="13"/>
  <c r="H25" i="13"/>
  <c r="S42" i="13"/>
  <c r="S46" i="13"/>
  <c r="R47" i="13"/>
  <c r="S42" i="14"/>
  <c r="R43" i="14"/>
  <c r="H21" i="15"/>
  <c r="H32" i="15"/>
  <c r="E38" i="15"/>
  <c r="T42" i="15"/>
  <c r="S46" i="15"/>
  <c r="E15" i="16"/>
  <c r="T41" i="16"/>
  <c r="Q43" i="16"/>
  <c r="O48" i="16" a="1"/>
  <c r="O48" i="16" s="1"/>
  <c r="X48" i="16" s="1"/>
  <c r="S42" i="17"/>
  <c r="T45" i="17"/>
  <c r="Q47" i="17"/>
  <c r="S41" i="18"/>
  <c r="T46" i="18"/>
  <c r="S42" i="19"/>
  <c r="T45" i="19"/>
  <c r="Q47" i="19"/>
  <c r="T45" i="20"/>
  <c r="Q47" i="20"/>
  <c r="Q42" i="21"/>
  <c r="S46" i="21"/>
  <c r="O47" i="21" a="1"/>
  <c r="O47" i="21" s="1"/>
  <c r="T42" i="22"/>
  <c r="R47" i="22"/>
  <c r="E17" i="24"/>
  <c r="H36" i="24"/>
  <c r="T46" i="24"/>
  <c r="S42" i="25"/>
  <c r="R43" i="25"/>
  <c r="Q41" i="26"/>
  <c r="Q46" i="26"/>
  <c r="Q42" i="27"/>
  <c r="S46" i="27"/>
  <c r="R47" i="27"/>
  <c r="E15" i="28"/>
  <c r="H36" i="28"/>
  <c r="T41" i="28"/>
  <c r="Q43" i="28"/>
  <c r="T46" i="28"/>
  <c r="R48" i="28"/>
  <c r="E12" i="29"/>
  <c r="S42" i="29"/>
  <c r="E15" i="30"/>
  <c r="H36" i="30"/>
  <c r="T41" i="30"/>
  <c r="R43" i="30"/>
  <c r="T46" i="30"/>
  <c r="R48" i="30"/>
  <c r="S47" i="12"/>
  <c r="E14" i="13"/>
  <c r="T45" i="13"/>
  <c r="Q47" i="13"/>
  <c r="E20" i="14"/>
  <c r="E32" i="14"/>
  <c r="T41" i="14"/>
  <c r="Q43" i="14"/>
  <c r="O48" i="14" a="1"/>
  <c r="O48" i="14" s="1"/>
  <c r="Q42" i="15"/>
  <c r="T45" i="15"/>
  <c r="R47" i="15"/>
  <c r="E25" i="16"/>
  <c r="T46" i="16"/>
  <c r="Q45" i="17"/>
  <c r="O46" i="17" a="1"/>
  <c r="O46" i="17" s="1"/>
  <c r="R44" i="18"/>
  <c r="S45" i="19"/>
  <c r="R43" i="20"/>
  <c r="S45" i="20"/>
  <c r="T45" i="21"/>
  <c r="R47" i="21"/>
  <c r="E15" i="22"/>
  <c r="E33" i="22"/>
  <c r="T45" i="22"/>
  <c r="Q47" i="22"/>
  <c r="T42" i="23"/>
  <c r="O44" i="23" a="1"/>
  <c r="O44" i="23" s="1"/>
  <c r="X44" i="23" s="1"/>
  <c r="S46" i="23"/>
  <c r="S43" i="24"/>
  <c r="T44" i="24"/>
  <c r="Q46" i="24"/>
  <c r="T41" i="25"/>
  <c r="Q43" i="25"/>
  <c r="T47" i="25"/>
  <c r="Q44" i="26"/>
  <c r="O45" i="26" a="1"/>
  <c r="O45" i="26" s="1"/>
  <c r="T45" i="27"/>
  <c r="Q47" i="27"/>
  <c r="E25" i="28"/>
  <c r="R41" i="28"/>
  <c r="T41" i="29"/>
  <c r="R43" i="29"/>
  <c r="T47" i="29"/>
  <c r="H11" i="30"/>
  <c r="E25" i="30"/>
  <c r="S41" i="30"/>
  <c r="Q46" i="30"/>
  <c r="S46" i="12"/>
  <c r="R43" i="13"/>
  <c r="Q45" i="13"/>
  <c r="O46" i="13" a="1"/>
  <c r="O46" i="13" s="1"/>
  <c r="H23" i="14"/>
  <c r="S41" i="14"/>
  <c r="T46" i="14"/>
  <c r="T48" i="14"/>
  <c r="S45" i="15"/>
  <c r="H11" i="16"/>
  <c r="S43" i="16"/>
  <c r="Q46" i="16"/>
  <c r="R43" i="17"/>
  <c r="S47" i="17"/>
  <c r="O48" i="17" a="1"/>
  <c r="O48" i="17" s="1"/>
  <c r="X48" i="17" s="1"/>
  <c r="T42" i="18"/>
  <c r="Q44" i="18"/>
  <c r="O48" i="18" a="1"/>
  <c r="O48" i="18" s="1"/>
  <c r="X48" i="18" s="1"/>
  <c r="R43" i="19"/>
  <c r="T41" i="20"/>
  <c r="Q43" i="20"/>
  <c r="R45" i="20"/>
  <c r="S42" i="21"/>
  <c r="R43" i="21"/>
  <c r="H11" i="22"/>
  <c r="O46" i="22" a="1"/>
  <c r="O46" i="22" s="1"/>
  <c r="E19" i="23"/>
  <c r="E29" i="23"/>
  <c r="R47" i="23"/>
  <c r="H13" i="24"/>
  <c r="H27" i="24"/>
  <c r="O44" i="24" a="1"/>
  <c r="O44" i="24" s="1"/>
  <c r="X44" i="24" s="1"/>
  <c r="H15" i="25"/>
  <c r="E20" i="25"/>
  <c r="O48" i="25" a="1"/>
  <c r="O48" i="25" s="1"/>
  <c r="X48" i="25" s="1"/>
  <c r="S41" i="26"/>
  <c r="T42" i="26"/>
  <c r="S46" i="26"/>
  <c r="S42" i="27"/>
  <c r="R43" i="27"/>
  <c r="S45" i="27"/>
  <c r="S43" i="28"/>
  <c r="T48" i="28"/>
  <c r="E32" i="29"/>
  <c r="O42" i="29" a="1"/>
  <c r="O42" i="29" s="1"/>
  <c r="O48" i="29" a="1"/>
  <c r="O48" i="29" s="1"/>
  <c r="X48" i="29" s="1"/>
  <c r="S43" i="30"/>
  <c r="T44" i="30"/>
  <c r="S48" i="30"/>
  <c r="T41" i="13"/>
  <c r="Q43" i="13"/>
  <c r="S47" i="13"/>
  <c r="O48" i="13" a="1"/>
  <c r="O48" i="13" s="1"/>
  <c r="S43" i="14"/>
  <c r="S42" i="15"/>
  <c r="R43" i="15"/>
  <c r="O44" i="16" a="1"/>
  <c r="O44" i="16" s="1"/>
  <c r="T41" i="17"/>
  <c r="Q43" i="17"/>
  <c r="S48" i="17"/>
  <c r="H33" i="18"/>
  <c r="T41" i="19"/>
  <c r="Q43" i="19"/>
  <c r="O48" i="19" a="1"/>
  <c r="O48" i="19" s="1"/>
  <c r="X48" i="19" s="1"/>
  <c r="S41" i="20"/>
  <c r="O48" i="20" a="1"/>
  <c r="O48" i="20" s="1"/>
  <c r="X48" i="20" s="1"/>
  <c r="T41" i="21"/>
  <c r="Q43" i="21"/>
  <c r="T47" i="21"/>
  <c r="S42" i="22"/>
  <c r="R43" i="22"/>
  <c r="T47" i="22"/>
  <c r="H24" i="23"/>
  <c r="S44" i="23"/>
  <c r="T45" i="23"/>
  <c r="Q47" i="23"/>
  <c r="T42" i="24"/>
  <c r="S46" i="24"/>
  <c r="R47" i="24"/>
  <c r="E32" i="25"/>
  <c r="T43" i="25"/>
  <c r="T46" i="25"/>
  <c r="Q48" i="25"/>
  <c r="Q42" i="26"/>
  <c r="R47" i="26"/>
  <c r="T41" i="27"/>
  <c r="Q43" i="27"/>
  <c r="H11" i="28"/>
  <c r="T42" i="28"/>
  <c r="O44" i="28" a="1"/>
  <c r="O44" i="28" s="1"/>
  <c r="H23" i="29"/>
  <c r="T43" i="29"/>
  <c r="T46" i="29"/>
  <c r="Q48" i="29"/>
  <c r="R42" i="30"/>
  <c r="O44" i="30" a="1"/>
  <c r="O44" i="30" s="1"/>
  <c r="S46" i="30"/>
  <c r="Q41" i="30"/>
  <c r="H13" i="30"/>
  <c r="E17" i="30"/>
  <c r="O41" i="30" a="1"/>
  <c r="O41" i="30" s="1"/>
  <c r="Q44" i="30"/>
  <c r="O45" i="30" a="1"/>
  <c r="O45" i="30" s="1"/>
  <c r="S47" i="30"/>
  <c r="Q48" i="30"/>
  <c r="E11" i="30"/>
  <c r="E21" i="30"/>
  <c r="H29" i="30"/>
  <c r="E33" i="30"/>
  <c r="T43" i="30"/>
  <c r="R44" i="30"/>
  <c r="T47" i="30"/>
  <c r="H15" i="30"/>
  <c r="H37" i="30"/>
  <c r="R41" i="30"/>
  <c r="R45" i="30"/>
  <c r="T48" i="30"/>
  <c r="E23" i="30"/>
  <c r="Q42" i="30"/>
  <c r="O43" i="30" a="1"/>
  <c r="O43" i="30" s="1"/>
  <c r="X43" i="30" s="1"/>
  <c r="S45" i="30"/>
  <c r="O47" i="30" a="1"/>
  <c r="O47" i="30" s="1"/>
  <c r="H23" i="30"/>
  <c r="R46" i="30"/>
  <c r="H27" i="30"/>
  <c r="S42" i="30"/>
  <c r="Q43" i="30"/>
  <c r="E24" i="30"/>
  <c r="H29" i="29"/>
  <c r="R48" i="29"/>
  <c r="E37" i="29"/>
  <c r="Q41" i="29"/>
  <c r="S44" i="29"/>
  <c r="Q45" i="29"/>
  <c r="O46" i="29" a="1"/>
  <c r="O46" i="29" s="1"/>
  <c r="S48" i="29"/>
  <c r="E11" i="29"/>
  <c r="R44" i="29"/>
  <c r="H37" i="29"/>
  <c r="R41" i="29"/>
  <c r="T44" i="29"/>
  <c r="R45" i="29"/>
  <c r="T48" i="29"/>
  <c r="Q44" i="29"/>
  <c r="E23" i="29"/>
  <c r="H30" i="29"/>
  <c r="E34" i="29"/>
  <c r="S41" i="29"/>
  <c r="O43" i="29" a="1"/>
  <c r="O43" i="29" s="1"/>
  <c r="S45" i="29"/>
  <c r="Q46" i="29"/>
  <c r="H34" i="29"/>
  <c r="R42" i="29"/>
  <c r="R46" i="29"/>
  <c r="H16" i="29"/>
  <c r="Q43" i="29"/>
  <c r="Q47" i="29"/>
  <c r="E13" i="29"/>
  <c r="H13" i="28"/>
  <c r="E17" i="28"/>
  <c r="O41" i="28" a="1"/>
  <c r="O41" i="28" s="1"/>
  <c r="Q44" i="28"/>
  <c r="O45" i="28" a="1"/>
  <c r="O45" i="28" s="1"/>
  <c r="Q48" i="28"/>
  <c r="T44" i="28"/>
  <c r="E11" i="28"/>
  <c r="E21" i="28"/>
  <c r="H29" i="28"/>
  <c r="E33" i="28"/>
  <c r="T43" i="28"/>
  <c r="R44" i="28"/>
  <c r="T47" i="28"/>
  <c r="S48" i="28"/>
  <c r="H19" i="28"/>
  <c r="E23" i="28"/>
  <c r="H30" i="28"/>
  <c r="S41" i="28"/>
  <c r="Q42" i="28"/>
  <c r="O43" i="28" a="1"/>
  <c r="O43" i="28" s="1"/>
  <c r="S45" i="28"/>
  <c r="Q46" i="28"/>
  <c r="O47" i="28" a="1"/>
  <c r="O47" i="28" s="1"/>
  <c r="Q41" i="28"/>
  <c r="H12" i="28"/>
  <c r="H34" i="28"/>
  <c r="R42" i="28"/>
  <c r="R46" i="28"/>
  <c r="H27" i="28"/>
  <c r="S42" i="28"/>
  <c r="S46" i="28"/>
  <c r="Q45" i="28"/>
  <c r="E13" i="28"/>
  <c r="E24" i="28"/>
  <c r="Q48" i="27"/>
  <c r="E11" i="27"/>
  <c r="E21" i="27"/>
  <c r="H29" i="27"/>
  <c r="E33" i="27"/>
  <c r="T43" i="27"/>
  <c r="R44" i="27"/>
  <c r="T47" i="27"/>
  <c r="R48" i="27"/>
  <c r="E37" i="27"/>
  <c r="Q41" i="27"/>
  <c r="O42" i="27" a="1"/>
  <c r="O42" i="27" s="1"/>
  <c r="S44" i="27"/>
  <c r="Q45" i="27"/>
  <c r="O46" i="27" a="1"/>
  <c r="O46" i="27" s="1"/>
  <c r="S48" i="27"/>
  <c r="R41" i="27"/>
  <c r="T44" i="27"/>
  <c r="R45" i="27"/>
  <c r="T48" i="27"/>
  <c r="H36" i="27"/>
  <c r="E23" i="27"/>
  <c r="H30" i="27"/>
  <c r="O43" i="27" a="1"/>
  <c r="O43" i="27" s="1"/>
  <c r="Q46" i="27"/>
  <c r="O47" i="27" a="1"/>
  <c r="O47" i="27" s="1"/>
  <c r="Q44" i="27"/>
  <c r="H12" i="27"/>
  <c r="H23" i="27"/>
  <c r="H34" i="27"/>
  <c r="R42" i="27"/>
  <c r="R46" i="27"/>
  <c r="H16" i="27"/>
  <c r="E13" i="27"/>
  <c r="S43" i="26"/>
  <c r="Q48" i="26"/>
  <c r="E11" i="26"/>
  <c r="E21" i="26"/>
  <c r="H29" i="26"/>
  <c r="E33" i="26"/>
  <c r="T43" i="26"/>
  <c r="R44" i="26"/>
  <c r="T47" i="26"/>
  <c r="R48" i="26"/>
  <c r="E37" i="26"/>
  <c r="O42" i="26" a="1"/>
  <c r="O42" i="26" s="1"/>
  <c r="S44" i="26"/>
  <c r="O46" i="26" a="1"/>
  <c r="O46" i="26" s="1"/>
  <c r="S48" i="26"/>
  <c r="H24" i="26"/>
  <c r="S47" i="26"/>
  <c r="H15" i="26"/>
  <c r="E19" i="26"/>
  <c r="H25" i="26"/>
  <c r="E30" i="26"/>
  <c r="R41" i="26"/>
  <c r="T44" i="26"/>
  <c r="R45" i="26"/>
  <c r="E29" i="26"/>
  <c r="H36" i="26"/>
  <c r="E23" i="26"/>
  <c r="H30" i="26"/>
  <c r="O43" i="26" a="1"/>
  <c r="O43" i="26" s="1"/>
  <c r="X43" i="26" s="1"/>
  <c r="O47" i="26" a="1"/>
  <c r="O47" i="26" s="1"/>
  <c r="H12" i="26"/>
  <c r="H23" i="26"/>
  <c r="H34" i="26"/>
  <c r="E38" i="26"/>
  <c r="R42" i="26"/>
  <c r="R46" i="26"/>
  <c r="Q47" i="26"/>
  <c r="E13" i="26"/>
  <c r="H36" i="25"/>
  <c r="Q44" i="25"/>
  <c r="E11" i="25"/>
  <c r="R48" i="25"/>
  <c r="E37" i="25"/>
  <c r="Q41" i="25"/>
  <c r="O42" i="25" a="1"/>
  <c r="O42" i="25" s="1"/>
  <c r="X41" i="25" s="1"/>
  <c r="S44" i="25"/>
  <c r="Q45" i="25"/>
  <c r="O46" i="25" a="1"/>
  <c r="O46" i="25" s="1"/>
  <c r="S48" i="25"/>
  <c r="E21" i="25"/>
  <c r="H37" i="25"/>
  <c r="R41" i="25"/>
  <c r="T44" i="25"/>
  <c r="R45" i="25"/>
  <c r="T48" i="25"/>
  <c r="H29" i="25"/>
  <c r="R44" i="25"/>
  <c r="E23" i="25"/>
  <c r="H30" i="25"/>
  <c r="S41" i="25"/>
  <c r="Q42" i="25"/>
  <c r="O43" i="25" a="1"/>
  <c r="O43" i="25" s="1"/>
  <c r="S45" i="25"/>
  <c r="Q46" i="25"/>
  <c r="O47" i="25" a="1"/>
  <c r="O47" i="25" s="1"/>
  <c r="H12" i="25"/>
  <c r="H23" i="25"/>
  <c r="H34" i="25"/>
  <c r="R42" i="25"/>
  <c r="R46" i="25"/>
  <c r="H16" i="25"/>
  <c r="E13" i="25"/>
  <c r="Q44" i="24"/>
  <c r="E11" i="24"/>
  <c r="E21" i="24"/>
  <c r="H29" i="24"/>
  <c r="T43" i="24"/>
  <c r="R48" i="24"/>
  <c r="E37" i="24"/>
  <c r="Q41" i="24"/>
  <c r="O42" i="24" a="1"/>
  <c r="O42" i="24" s="1"/>
  <c r="X42" i="24" s="1"/>
  <c r="S44" i="24"/>
  <c r="Q45" i="24"/>
  <c r="O46" i="24" a="1"/>
  <c r="O46" i="24" s="1"/>
  <c r="X46" i="24" s="1"/>
  <c r="S48" i="24"/>
  <c r="R41" i="24"/>
  <c r="R45" i="24"/>
  <c r="T48" i="24"/>
  <c r="T47" i="24"/>
  <c r="E23" i="24"/>
  <c r="H30" i="24"/>
  <c r="S41" i="24"/>
  <c r="Q42" i="24"/>
  <c r="O43" i="24" a="1"/>
  <c r="O43" i="24" s="1"/>
  <c r="X43" i="24" s="1"/>
  <c r="S45" i="24"/>
  <c r="O47" i="24" a="1"/>
  <c r="O47" i="24" s="1"/>
  <c r="X47" i="24" s="1"/>
  <c r="H34" i="24"/>
  <c r="R46" i="24"/>
  <c r="R44" i="24"/>
  <c r="H16" i="24"/>
  <c r="E13" i="24"/>
  <c r="H13" i="23"/>
  <c r="E17" i="23"/>
  <c r="O41" i="23" a="1"/>
  <c r="O41" i="23" s="1"/>
  <c r="X41" i="23" s="1"/>
  <c r="S43" i="23"/>
  <c r="Q44" i="23"/>
  <c r="O45" i="23" a="1"/>
  <c r="O45" i="23" s="1"/>
  <c r="X45" i="23" s="1"/>
  <c r="S47" i="23"/>
  <c r="Q48" i="23"/>
  <c r="E11" i="23"/>
  <c r="E21" i="23"/>
  <c r="H29" i="23"/>
  <c r="E33" i="23"/>
  <c r="T43" i="23"/>
  <c r="R44" i="23"/>
  <c r="T47" i="23"/>
  <c r="R48" i="23"/>
  <c r="H37" i="23"/>
  <c r="R41" i="23"/>
  <c r="T44" i="23"/>
  <c r="R45" i="23"/>
  <c r="Q41" i="23"/>
  <c r="E23" i="23"/>
  <c r="Q42" i="23"/>
  <c r="O43" i="23" a="1"/>
  <c r="O43" i="23" s="1"/>
  <c r="X43" i="23" s="1"/>
  <c r="S45" i="23"/>
  <c r="Q46" i="23"/>
  <c r="O47" i="23" a="1"/>
  <c r="O47" i="23" s="1"/>
  <c r="X47" i="23" s="1"/>
  <c r="R42" i="23"/>
  <c r="R46" i="23"/>
  <c r="H27" i="23"/>
  <c r="E24" i="23"/>
  <c r="E21" i="22"/>
  <c r="E37" i="22"/>
  <c r="Q41" i="22"/>
  <c r="S44" i="22"/>
  <c r="Q45" i="22"/>
  <c r="S48" i="22"/>
  <c r="S43" i="22"/>
  <c r="R48" i="22"/>
  <c r="H37" i="22"/>
  <c r="R41" i="22"/>
  <c r="T44" i="22"/>
  <c r="R45" i="22"/>
  <c r="T48" i="22"/>
  <c r="Q44" i="22"/>
  <c r="E23" i="22"/>
  <c r="H30" i="22"/>
  <c r="E34" i="22"/>
  <c r="S41" i="22"/>
  <c r="Q42" i="22"/>
  <c r="O43" i="22" a="1"/>
  <c r="O43" i="22" s="1"/>
  <c r="S45" i="22"/>
  <c r="Q46" i="22"/>
  <c r="O47" i="22" a="1"/>
  <c r="O47" i="22" s="1"/>
  <c r="H34" i="22"/>
  <c r="R42" i="22"/>
  <c r="R46" i="22"/>
  <c r="H16" i="22"/>
  <c r="O44" i="22" a="1"/>
  <c r="O44" i="22" s="1"/>
  <c r="X44" i="22" s="1"/>
  <c r="S46" i="22"/>
  <c r="E11" i="22"/>
  <c r="E13" i="22"/>
  <c r="Q44" i="21"/>
  <c r="Q48" i="21"/>
  <c r="E11" i="21"/>
  <c r="E21" i="21"/>
  <c r="H29" i="21"/>
  <c r="R44" i="21"/>
  <c r="E37" i="21"/>
  <c r="Q41" i="21"/>
  <c r="S44" i="21"/>
  <c r="Q45" i="21"/>
  <c r="O46" i="21" a="1"/>
  <c r="O46" i="21" s="1"/>
  <c r="X46" i="21" s="1"/>
  <c r="S48" i="21"/>
  <c r="H37" i="21"/>
  <c r="R41" i="21"/>
  <c r="R45" i="21"/>
  <c r="T48" i="21"/>
  <c r="E23" i="21"/>
  <c r="H30" i="21"/>
  <c r="E34" i="21"/>
  <c r="S41" i="21"/>
  <c r="O43" i="21" a="1"/>
  <c r="O43" i="21" s="1"/>
  <c r="S45" i="21"/>
  <c r="Q46" i="21"/>
  <c r="H34" i="21"/>
  <c r="R42" i="21"/>
  <c r="R46" i="21"/>
  <c r="H16" i="21"/>
  <c r="Q47" i="21"/>
  <c r="E13" i="21"/>
  <c r="Q48" i="20"/>
  <c r="E11" i="20"/>
  <c r="E21" i="20"/>
  <c r="H29" i="20"/>
  <c r="T43" i="20"/>
  <c r="T47" i="20"/>
  <c r="R48" i="20"/>
  <c r="E37" i="20"/>
  <c r="Q41" i="20"/>
  <c r="O42" i="20" a="1"/>
  <c r="O42" i="20" s="1"/>
  <c r="S44" i="20"/>
  <c r="Q45" i="20"/>
  <c r="O46" i="20" a="1"/>
  <c r="O46" i="20" s="1"/>
  <c r="S48" i="20"/>
  <c r="R41" i="20"/>
  <c r="T44" i="20"/>
  <c r="E23" i="20"/>
  <c r="H30" i="20"/>
  <c r="E34" i="20"/>
  <c r="Q42" i="20"/>
  <c r="O43" i="20" a="1"/>
  <c r="O43" i="20" s="1"/>
  <c r="Q46" i="20"/>
  <c r="O47" i="20" a="1"/>
  <c r="O47" i="20" s="1"/>
  <c r="H23" i="20"/>
  <c r="H34" i="20"/>
  <c r="R42" i="20"/>
  <c r="R46" i="20"/>
  <c r="H16" i="20"/>
  <c r="S42" i="20"/>
  <c r="O44" i="20" a="1"/>
  <c r="O44" i="20" s="1"/>
  <c r="S46" i="20"/>
  <c r="E13" i="20"/>
  <c r="H36" i="19"/>
  <c r="Q48" i="19"/>
  <c r="E11" i="19"/>
  <c r="E21" i="19"/>
  <c r="H29" i="19"/>
  <c r="E33" i="19"/>
  <c r="T43" i="19"/>
  <c r="R44" i="19"/>
  <c r="T47" i="19"/>
  <c r="R48" i="19"/>
  <c r="E37" i="19"/>
  <c r="Q41" i="19"/>
  <c r="O42" i="19" a="1"/>
  <c r="O42" i="19" s="1"/>
  <c r="X42" i="19" s="1"/>
  <c r="S44" i="19"/>
  <c r="Q45" i="19"/>
  <c r="O46" i="19" a="1"/>
  <c r="O46" i="19" s="1"/>
  <c r="S48" i="19"/>
  <c r="Q44" i="19"/>
  <c r="R41" i="19"/>
  <c r="T44" i="19"/>
  <c r="R45" i="19"/>
  <c r="E23" i="19"/>
  <c r="H30" i="19"/>
  <c r="Q42" i="19"/>
  <c r="O43" i="19" a="1"/>
  <c r="O43" i="19" s="1"/>
  <c r="Q46" i="19"/>
  <c r="O47" i="19" a="1"/>
  <c r="O47" i="19" s="1"/>
  <c r="H12" i="19"/>
  <c r="H23" i="19"/>
  <c r="H34" i="19"/>
  <c r="R42" i="19"/>
  <c r="R46" i="19"/>
  <c r="H16" i="19"/>
  <c r="E13" i="19"/>
  <c r="H13" i="18"/>
  <c r="E17" i="18"/>
  <c r="H24" i="18"/>
  <c r="E29" i="18"/>
  <c r="O41" i="18" a="1"/>
  <c r="O41" i="18" s="1"/>
  <c r="S43" i="18"/>
  <c r="O45" i="18" a="1"/>
  <c r="O45" i="18" s="1"/>
  <c r="S47" i="18"/>
  <c r="Q48" i="18"/>
  <c r="E21" i="18"/>
  <c r="E33" i="18"/>
  <c r="T47" i="18"/>
  <c r="Q41" i="18"/>
  <c r="S48" i="18"/>
  <c r="H37" i="18"/>
  <c r="R41" i="18"/>
  <c r="T44" i="18"/>
  <c r="R45" i="18"/>
  <c r="T48" i="18"/>
  <c r="Q42" i="18"/>
  <c r="O43" i="18" a="1"/>
  <c r="O43" i="18" s="1"/>
  <c r="S45" i="18"/>
  <c r="Q46" i="18"/>
  <c r="H12" i="18"/>
  <c r="H23" i="18"/>
  <c r="R42" i="18"/>
  <c r="R46" i="18"/>
  <c r="H27" i="18"/>
  <c r="S42" i="18"/>
  <c r="Q43" i="18"/>
  <c r="S46" i="18"/>
  <c r="Q47" i="18"/>
  <c r="E24" i="18"/>
  <c r="Q48" i="17"/>
  <c r="E11" i="17"/>
  <c r="E21" i="17"/>
  <c r="H29" i="17"/>
  <c r="E33" i="17"/>
  <c r="T43" i="17"/>
  <c r="R44" i="17"/>
  <c r="T47" i="17"/>
  <c r="R48" i="17"/>
  <c r="H37" i="17"/>
  <c r="R41" i="17"/>
  <c r="T44" i="17"/>
  <c r="R45" i="17"/>
  <c r="T48" i="17"/>
  <c r="Q44" i="17"/>
  <c r="E23" i="17"/>
  <c r="H30" i="17"/>
  <c r="E34" i="17"/>
  <c r="S41" i="17"/>
  <c r="Q42" i="17"/>
  <c r="O43" i="17" a="1"/>
  <c r="O43" i="17" s="1"/>
  <c r="S45" i="17"/>
  <c r="Q46" i="17"/>
  <c r="O47" i="17" a="1"/>
  <c r="O47" i="17" s="1"/>
  <c r="E37" i="17"/>
  <c r="H34" i="17"/>
  <c r="R42" i="17"/>
  <c r="R46" i="17"/>
  <c r="S44" i="17"/>
  <c r="H16" i="17"/>
  <c r="H27" i="17"/>
  <c r="E13" i="17"/>
  <c r="E24" i="17"/>
  <c r="Q48" i="16"/>
  <c r="E37" i="16"/>
  <c r="Q41" i="16"/>
  <c r="O42" i="16" a="1"/>
  <c r="O42" i="16" s="1"/>
  <c r="S44" i="16"/>
  <c r="Q45" i="16"/>
  <c r="O46" i="16" a="1"/>
  <c r="O46" i="16" s="1"/>
  <c r="S48" i="16"/>
  <c r="H36" i="16"/>
  <c r="Q44" i="16"/>
  <c r="E21" i="16"/>
  <c r="H29" i="16"/>
  <c r="R48" i="16"/>
  <c r="E19" i="16"/>
  <c r="R41" i="16"/>
  <c r="T44" i="16"/>
  <c r="R45" i="16"/>
  <c r="T48" i="16"/>
  <c r="S47" i="16"/>
  <c r="E11" i="16"/>
  <c r="T43" i="16"/>
  <c r="E23" i="16"/>
  <c r="H30" i="16"/>
  <c r="S41" i="16"/>
  <c r="O43" i="16" a="1"/>
  <c r="O43" i="16" s="1"/>
  <c r="S45" i="16"/>
  <c r="O47" i="16" a="1"/>
  <c r="O47" i="16" s="1"/>
  <c r="R44" i="16"/>
  <c r="H12" i="16"/>
  <c r="H23" i="16"/>
  <c r="H34" i="16"/>
  <c r="R42" i="16"/>
  <c r="R46" i="16"/>
  <c r="H16" i="16"/>
  <c r="E13" i="16"/>
  <c r="E11" i="15"/>
  <c r="E21" i="15"/>
  <c r="H29" i="15"/>
  <c r="E33" i="15"/>
  <c r="T43" i="15"/>
  <c r="R44" i="15"/>
  <c r="T47" i="15"/>
  <c r="R48" i="15"/>
  <c r="H36" i="15"/>
  <c r="E37" i="15"/>
  <c r="Q41" i="15"/>
  <c r="O42" i="15" a="1"/>
  <c r="O42" i="15" s="1"/>
  <c r="S44" i="15"/>
  <c r="Q45" i="15"/>
  <c r="O46" i="15" a="1"/>
  <c r="O46" i="15" s="1"/>
  <c r="S48" i="15"/>
  <c r="Q44" i="15"/>
  <c r="Q48" i="15"/>
  <c r="H37" i="15"/>
  <c r="R41" i="15"/>
  <c r="T44" i="15"/>
  <c r="R45" i="15"/>
  <c r="E23" i="15"/>
  <c r="H30" i="15"/>
  <c r="O43" i="15" a="1"/>
  <c r="O43" i="15" s="1"/>
  <c r="Q46" i="15"/>
  <c r="O47" i="15" a="1"/>
  <c r="O47" i="15" s="1"/>
  <c r="H12" i="15"/>
  <c r="H23" i="15"/>
  <c r="H34" i="15"/>
  <c r="R42" i="15"/>
  <c r="R46" i="15"/>
  <c r="H16" i="15"/>
  <c r="Q47" i="15"/>
  <c r="E13" i="15"/>
  <c r="Q48" i="14"/>
  <c r="E26" i="14"/>
  <c r="E34" i="14"/>
  <c r="T43" i="14"/>
  <c r="R44" i="14"/>
  <c r="T47" i="14"/>
  <c r="R48" i="14"/>
  <c r="E13" i="14"/>
  <c r="H18" i="14"/>
  <c r="E21" i="14"/>
  <c r="H34" i="14"/>
  <c r="E37" i="14"/>
  <c r="Q41" i="14"/>
  <c r="O42" i="14" a="1"/>
  <c r="O42" i="14" s="1"/>
  <c r="S44" i="14"/>
  <c r="Q45" i="14"/>
  <c r="O46" i="14" a="1"/>
  <c r="O46" i="14" s="1"/>
  <c r="S48" i="14"/>
  <c r="H29" i="14"/>
  <c r="R41" i="14"/>
  <c r="T44" i="14"/>
  <c r="R45" i="14"/>
  <c r="E11" i="14"/>
  <c r="H16" i="14"/>
  <c r="O43" i="14" a="1"/>
  <c r="O43" i="14" s="1"/>
  <c r="Q46" i="14"/>
  <c r="R42" i="14"/>
  <c r="R46" i="14"/>
  <c r="O44" i="14" a="1"/>
  <c r="O44" i="14" s="1"/>
  <c r="Q47" i="14"/>
  <c r="Q44" i="13"/>
  <c r="Q48" i="13"/>
  <c r="H15" i="13"/>
  <c r="H23" i="13"/>
  <c r="E26" i="13"/>
  <c r="E34" i="13"/>
  <c r="T43" i="13"/>
  <c r="T47" i="13"/>
  <c r="R48" i="13"/>
  <c r="E37" i="13"/>
  <c r="H13" i="13"/>
  <c r="E24" i="13"/>
  <c r="H29" i="13"/>
  <c r="E32" i="13"/>
  <c r="H37" i="13"/>
  <c r="R41" i="13"/>
  <c r="T44" i="13"/>
  <c r="R45" i="13"/>
  <c r="E21" i="13"/>
  <c r="H34" i="13"/>
  <c r="Q41" i="13"/>
  <c r="S44" i="13"/>
  <c r="E11" i="13"/>
  <c r="H16" i="13"/>
  <c r="Q42" i="13"/>
  <c r="S45" i="13"/>
  <c r="O47" i="13" a="1"/>
  <c r="O47" i="13" s="1"/>
  <c r="X47" i="13" s="1"/>
  <c r="H11" i="13"/>
  <c r="H19" i="13"/>
  <c r="E22" i="13"/>
  <c r="H27" i="13"/>
  <c r="H35" i="13"/>
  <c r="R42" i="13"/>
  <c r="R46" i="13"/>
  <c r="E13" i="13"/>
  <c r="E17" i="13"/>
  <c r="E25" i="13"/>
  <c r="E33" i="13"/>
  <c r="E12" i="13"/>
  <c r="H33" i="13"/>
  <c r="H23" i="12"/>
  <c r="E26" i="12"/>
  <c r="E34" i="12"/>
  <c r="T43" i="12"/>
  <c r="R44" i="12"/>
  <c r="T47" i="12"/>
  <c r="R48" i="12"/>
  <c r="E13" i="12"/>
  <c r="H18" i="12"/>
  <c r="E21" i="12"/>
  <c r="H34" i="12"/>
  <c r="E37" i="12"/>
  <c r="Q41" i="12"/>
  <c r="O42" i="12" a="1"/>
  <c r="O42" i="12" s="1"/>
  <c r="S44" i="12"/>
  <c r="Q45" i="12"/>
  <c r="O46" i="12" a="1"/>
  <c r="O46" i="12" s="1"/>
  <c r="S48" i="12"/>
  <c r="H29" i="12"/>
  <c r="E32" i="12"/>
  <c r="H37" i="12"/>
  <c r="T44" i="12"/>
  <c r="R45" i="12"/>
  <c r="E11" i="12"/>
  <c r="H16" i="12"/>
  <c r="O43" i="12" a="1"/>
  <c r="O43" i="12" s="1"/>
  <c r="O47" i="12" a="1"/>
  <c r="O47" i="12" s="1"/>
  <c r="Q44" i="12"/>
  <c r="H19" i="12"/>
  <c r="H35" i="12"/>
  <c r="R42" i="12"/>
  <c r="R46" i="12"/>
  <c r="Q43" i="12"/>
  <c r="Q47" i="12"/>
  <c r="Q44" i="11"/>
  <c r="Q48" i="11"/>
  <c r="E26" i="11"/>
  <c r="E34" i="11"/>
  <c r="T43" i="11"/>
  <c r="R44" i="11"/>
  <c r="T47" i="11"/>
  <c r="R48" i="11"/>
  <c r="E13" i="11"/>
  <c r="H18" i="11"/>
  <c r="E21" i="11"/>
  <c r="H34" i="11"/>
  <c r="E37" i="11"/>
  <c r="O42" i="11" a="1"/>
  <c r="O42" i="11" s="1"/>
  <c r="S44" i="11"/>
  <c r="Q45" i="11"/>
  <c r="O46" i="11" a="1"/>
  <c r="O46" i="11" s="1"/>
  <c r="S48" i="11"/>
  <c r="H29" i="11"/>
  <c r="R41" i="11"/>
  <c r="T44" i="11"/>
  <c r="H36" i="11"/>
  <c r="H16" i="11"/>
  <c r="O43" i="11" a="1"/>
  <c r="O43" i="11" s="1"/>
  <c r="Q46" i="11"/>
  <c r="O47" i="11" a="1"/>
  <c r="O47" i="11" s="1"/>
  <c r="R42" i="11"/>
  <c r="R46" i="11"/>
  <c r="Q43" i="11"/>
  <c r="Q47" i="11"/>
  <c r="Q44" i="10"/>
  <c r="E11" i="10"/>
  <c r="E21" i="10"/>
  <c r="H29" i="10"/>
  <c r="E33" i="10"/>
  <c r="T43" i="10"/>
  <c r="R44" i="10"/>
  <c r="T47" i="10"/>
  <c r="R48" i="10"/>
  <c r="S44" i="10"/>
  <c r="E19" i="10"/>
  <c r="H37" i="10"/>
  <c r="R41" i="10"/>
  <c r="R45" i="10"/>
  <c r="T48" i="10"/>
  <c r="E37" i="10"/>
  <c r="E23" i="10"/>
  <c r="H30" i="10"/>
  <c r="S41" i="10"/>
  <c r="O43" i="10" a="1"/>
  <c r="O43" i="10" s="1"/>
  <c r="X43" i="10" s="1"/>
  <c r="S45" i="10"/>
  <c r="H12" i="10"/>
  <c r="H34" i="10"/>
  <c r="R42" i="10"/>
  <c r="R46" i="10"/>
  <c r="H16" i="10"/>
  <c r="H27" i="10"/>
  <c r="Q47" i="10"/>
  <c r="E13" i="10"/>
  <c r="E24" i="10"/>
  <c r="T43" i="9"/>
  <c r="R48" i="9"/>
  <c r="E37" i="9"/>
  <c r="Q41" i="9"/>
  <c r="O42" i="9" a="1"/>
  <c r="O42" i="9" s="1"/>
  <c r="S44" i="9"/>
  <c r="Q45" i="9"/>
  <c r="O46" i="9" a="1"/>
  <c r="O46" i="9" s="1"/>
  <c r="S48" i="9"/>
  <c r="H36" i="9"/>
  <c r="R41" i="9"/>
  <c r="T44" i="9"/>
  <c r="R45" i="9"/>
  <c r="T48" i="9"/>
  <c r="Q44" i="9"/>
  <c r="E23" i="9"/>
  <c r="H30" i="9"/>
  <c r="E34" i="9"/>
  <c r="S41" i="9"/>
  <c r="Q42" i="9"/>
  <c r="O43" i="9" a="1"/>
  <c r="O43" i="9" s="1"/>
  <c r="S45" i="9"/>
  <c r="Q46" i="9"/>
  <c r="O47" i="9" a="1"/>
  <c r="O47" i="9" s="1"/>
  <c r="E11" i="9"/>
  <c r="R44" i="9"/>
  <c r="H23" i="9"/>
  <c r="H34" i="9"/>
  <c r="R42" i="9"/>
  <c r="R46" i="9"/>
  <c r="E21" i="9"/>
  <c r="H16" i="9"/>
  <c r="S46" i="9"/>
  <c r="Q47" i="9"/>
  <c r="E13" i="9"/>
  <c r="R43" i="8"/>
  <c r="Q44" i="8"/>
  <c r="Q48" i="8"/>
  <c r="E11" i="8"/>
  <c r="E21" i="8"/>
  <c r="H29" i="8"/>
  <c r="E33" i="8"/>
  <c r="R44" i="8"/>
  <c r="T47" i="8"/>
  <c r="R48" i="8"/>
  <c r="E37" i="8"/>
  <c r="O42" i="8" a="1"/>
  <c r="O42" i="8" s="1"/>
  <c r="X42" i="8" s="1"/>
  <c r="S44" i="8"/>
  <c r="O46" i="8" a="1"/>
  <c r="O46" i="8" s="1"/>
  <c r="S48" i="8"/>
  <c r="R41" i="8"/>
  <c r="T44" i="8"/>
  <c r="R45" i="8"/>
  <c r="T48" i="8"/>
  <c r="E23" i="8"/>
  <c r="Q42" i="8"/>
  <c r="O43" i="8" a="1"/>
  <c r="O43" i="8" s="1"/>
  <c r="Q46" i="8"/>
  <c r="H23" i="8"/>
  <c r="E26" i="7"/>
  <c r="E34" i="7"/>
  <c r="T43" i="7"/>
  <c r="T47" i="7"/>
  <c r="R48" i="7"/>
  <c r="Q44" i="7"/>
  <c r="E13" i="7"/>
  <c r="H18" i="7"/>
  <c r="E21" i="7"/>
  <c r="H34" i="7"/>
  <c r="E37" i="7"/>
  <c r="Q41" i="7"/>
  <c r="O42" i="7" a="1"/>
  <c r="O42" i="7" s="1"/>
  <c r="X45" i="7" s="1"/>
  <c r="S44" i="7"/>
  <c r="Q45" i="7"/>
  <c r="O46" i="7" a="1"/>
  <c r="O46" i="7" s="1"/>
  <c r="E23" i="7"/>
  <c r="H29" i="7"/>
  <c r="H37" i="7"/>
  <c r="R41" i="7"/>
  <c r="T44" i="7"/>
  <c r="R45" i="7"/>
  <c r="T48" i="7"/>
  <c r="E11" i="7"/>
  <c r="H16" i="7"/>
  <c r="S41" i="7"/>
  <c r="Q42" i="7"/>
  <c r="O43" i="7" a="1"/>
  <c r="O43" i="7" s="1"/>
  <c r="S45" i="7"/>
  <c r="Q46" i="7"/>
  <c r="O47" i="7" a="1"/>
  <c r="O47" i="7" s="1"/>
  <c r="X45" i="6"/>
  <c r="S47" i="6"/>
  <c r="Q48" i="6"/>
  <c r="E11" i="6"/>
  <c r="E21" i="6"/>
  <c r="H29" i="6"/>
  <c r="E33" i="6"/>
  <c r="T43" i="6"/>
  <c r="R44" i="6"/>
  <c r="T47" i="6"/>
  <c r="R48" i="6"/>
  <c r="Q44" i="6"/>
  <c r="E25" i="6"/>
  <c r="E37" i="6"/>
  <c r="S48" i="6"/>
  <c r="H37" i="6"/>
  <c r="R41" i="6"/>
  <c r="T44" i="6"/>
  <c r="R45" i="6"/>
  <c r="E34" i="6"/>
  <c r="S45" i="6"/>
  <c r="H23" i="6"/>
  <c r="E27" i="6"/>
  <c r="H34" i="6"/>
  <c r="E38" i="6"/>
  <c r="T41" i="6"/>
  <c r="R42" i="6"/>
  <c r="R46" i="6"/>
  <c r="H36" i="6"/>
  <c r="S44" i="6"/>
  <c r="Q46" i="6"/>
  <c r="H16" i="6"/>
  <c r="E20" i="6"/>
  <c r="H27" i="6"/>
  <c r="S42" i="6"/>
  <c r="Q43" i="6"/>
  <c r="S46" i="6"/>
  <c r="Q47" i="6"/>
  <c r="H30" i="6"/>
  <c r="Q42" i="6"/>
  <c r="E13" i="6"/>
  <c r="E24" i="6"/>
  <c r="H36" i="5"/>
  <c r="Q48" i="5"/>
  <c r="E26" i="5"/>
  <c r="E34" i="5"/>
  <c r="T43" i="5"/>
  <c r="R44" i="5"/>
  <c r="T47" i="5"/>
  <c r="R48" i="5"/>
  <c r="Q44" i="5"/>
  <c r="S48" i="5"/>
  <c r="H13" i="5"/>
  <c r="E24" i="5"/>
  <c r="H29" i="5"/>
  <c r="H37" i="5"/>
  <c r="R41" i="5"/>
  <c r="T44" i="5"/>
  <c r="R45" i="5"/>
  <c r="S44" i="5"/>
  <c r="E11" i="5"/>
  <c r="H16" i="5"/>
  <c r="S41" i="5"/>
  <c r="O43" i="5" a="1"/>
  <c r="O43" i="5" s="1"/>
  <c r="X48" i="5" s="1"/>
  <c r="S45" i="5"/>
  <c r="O47" i="5" a="1"/>
  <c r="O47" i="5" s="1"/>
  <c r="H18" i="5"/>
  <c r="H11" i="5"/>
  <c r="H19" i="5"/>
  <c r="E22" i="5"/>
  <c r="H27" i="5"/>
  <c r="R42" i="5"/>
  <c r="R46" i="5"/>
  <c r="E17" i="5"/>
  <c r="E25" i="5"/>
  <c r="H30" i="5"/>
  <c r="E33" i="5"/>
  <c r="Q47" i="5"/>
  <c r="E13" i="5"/>
  <c r="H34" i="5"/>
  <c r="H33" i="5"/>
  <c r="X44" i="6" l="1"/>
  <c r="X43" i="12"/>
  <c r="X46" i="29"/>
  <c r="X42" i="10"/>
  <c r="X43" i="14"/>
  <c r="X42" i="15"/>
  <c r="X47" i="17"/>
  <c r="X47" i="5"/>
  <c r="X41" i="11"/>
  <c r="X45" i="13"/>
  <c r="X47" i="15"/>
  <c r="X42" i="27"/>
  <c r="X43" i="29"/>
  <c r="X41" i="30"/>
  <c r="X42" i="6"/>
  <c r="X48" i="13"/>
  <c r="X47" i="25"/>
  <c r="X47" i="6"/>
  <c r="X43" i="7"/>
  <c r="X41" i="12"/>
  <c r="X41" i="14"/>
  <c r="X42" i="16"/>
  <c r="X43" i="17"/>
  <c r="X41" i="21"/>
  <c r="X43" i="22"/>
  <c r="X47" i="27"/>
  <c r="X46" i="6"/>
  <c r="X47" i="16"/>
  <c r="X43" i="18"/>
  <c r="X47" i="18"/>
  <c r="X47" i="30"/>
  <c r="X43" i="20"/>
  <c r="X41" i="6"/>
  <c r="X43" i="9"/>
  <c r="X47" i="11"/>
  <c r="X41" i="28"/>
  <c r="X46" i="30"/>
  <c r="X44" i="30"/>
  <c r="X45" i="30"/>
  <c r="X42" i="30"/>
  <c r="X42" i="29"/>
  <c r="X41" i="29"/>
  <c r="X47" i="29"/>
  <c r="X45" i="29"/>
  <c r="X44" i="29"/>
  <c r="X43" i="28"/>
  <c r="X45" i="28"/>
  <c r="X47" i="28"/>
  <c r="X46" i="28"/>
  <c r="X44" i="28"/>
  <c r="X42" i="28"/>
  <c r="X43" i="27"/>
  <c r="X41" i="27"/>
  <c r="X46" i="27"/>
  <c r="X45" i="27"/>
  <c r="X44" i="27"/>
  <c r="X42" i="26"/>
  <c r="X44" i="26"/>
  <c r="X41" i="26"/>
  <c r="X47" i="26"/>
  <c r="X46" i="26"/>
  <c r="X45" i="26"/>
  <c r="X46" i="25"/>
  <c r="X43" i="25"/>
  <c r="X42" i="25"/>
  <c r="X45" i="25"/>
  <c r="X44" i="25"/>
  <c r="X42" i="22"/>
  <c r="X47" i="22"/>
  <c r="X41" i="22"/>
  <c r="X46" i="22"/>
  <c r="X45" i="22"/>
  <c r="X44" i="21"/>
  <c r="X42" i="21"/>
  <c r="X43" i="21"/>
  <c r="X47" i="21"/>
  <c r="X45" i="21"/>
  <c r="X44" i="20"/>
  <c r="X46" i="20"/>
  <c r="X42" i="20"/>
  <c r="X41" i="20"/>
  <c r="X47" i="20"/>
  <c r="X45" i="20"/>
  <c r="X47" i="19"/>
  <c r="X43" i="19"/>
  <c r="X46" i="19"/>
  <c r="X41" i="19"/>
  <c r="X45" i="19"/>
  <c r="X44" i="19"/>
  <c r="X46" i="18"/>
  <c r="X45" i="18"/>
  <c r="X44" i="18"/>
  <c r="X41" i="18"/>
  <c r="X42" i="18"/>
  <c r="X41" i="17"/>
  <c r="X44" i="17"/>
  <c r="X46" i="17"/>
  <c r="X45" i="17"/>
  <c r="X42" i="17"/>
  <c r="X43" i="16"/>
  <c r="X41" i="16"/>
  <c r="X46" i="16"/>
  <c r="X45" i="16"/>
  <c r="X44" i="16"/>
  <c r="X43" i="15"/>
  <c r="X41" i="15"/>
  <c r="X46" i="15"/>
  <c r="X45" i="15"/>
  <c r="X44" i="15"/>
  <c r="X46" i="14"/>
  <c r="X48" i="14"/>
  <c r="X42" i="14"/>
  <c r="X47" i="14"/>
  <c r="X44" i="14"/>
  <c r="X45" i="14"/>
  <c r="X43" i="13"/>
  <c r="X42" i="13"/>
  <c r="X46" i="13"/>
  <c r="X41" i="13"/>
  <c r="X44" i="13"/>
  <c r="X47" i="12"/>
  <c r="X48" i="12"/>
  <c r="X46" i="12"/>
  <c r="X42" i="12"/>
  <c r="X45" i="12"/>
  <c r="X44" i="12"/>
  <c r="X46" i="11"/>
  <c r="X43" i="11"/>
  <c r="X48" i="11"/>
  <c r="X42" i="11"/>
  <c r="X45" i="11"/>
  <c r="X44" i="11"/>
  <c r="X41" i="10"/>
  <c r="X45" i="10"/>
  <c r="X46" i="10"/>
  <c r="X47" i="10"/>
  <c r="X44" i="10"/>
  <c r="X42" i="9"/>
  <c r="X47" i="9"/>
  <c r="X46" i="9"/>
  <c r="X41" i="9"/>
  <c r="X45" i="9"/>
  <c r="X44" i="9"/>
  <c r="X41" i="8"/>
  <c r="X47" i="8"/>
  <c r="X43" i="8"/>
  <c r="X46" i="8"/>
  <c r="X45" i="8"/>
  <c r="X44" i="8"/>
  <c r="X46" i="7"/>
  <c r="X41" i="7"/>
  <c r="X47" i="7"/>
  <c r="X48" i="7"/>
  <c r="X42" i="7"/>
  <c r="X44" i="7"/>
  <c r="X43" i="5"/>
  <c r="X46" i="5"/>
  <c r="X42" i="5"/>
  <c r="X41" i="5"/>
  <c r="X44" i="5"/>
  <c r="X45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<sst xmlns="http://schemas.openxmlformats.org/spreadsheetml/2006/main" count="3360" uniqueCount="371">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</sst>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4067520C-80FB-4E53-A076-2411D2FBB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9130" y="19259"/>
          <a:ext cx="849630" cy="8682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0A5736-5CFB-4647-90D7-1949DE1438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9890" y="9124"/>
          <a:ext cx="904875" cy="8123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9CCC9BF-1798-4981-BEDB-2DB995CDFC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4322AA-D594-450F-A442-9D018C9E396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6044452-20D4-4218-BFC2-D014FAC700A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B8D888-8441-4DE5-82D2-9BB4A1D74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5E43223-1F15-4D61-8EF4-F530EAA62F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27748F-3634-4C3F-8EFD-CD2402B18D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A13CB99-C0B0-43D5-9B08-113CD3890AB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4B2C106-2251-4BAC-B79C-7D64DB324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234482-F459-4F14-87C6-91773837A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DB802D-208B-4C03-9762-F34F339AC1E6}"/>
            </a:ext>
          </a:extLst>
        </xdr:cNvPr>
        <xdr:cNvSpPr/>
      </xdr:nvSpPr>
      <xdr:spPr bwMode="auto">
        <a:xfrm>
          <a:off x="3535680" y="0"/>
          <a:ext cx="2105660" cy="93218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9EC0C2F-3B0C-4D3F-9592-53BEE6BDC418}"/>
            </a:ext>
          </a:extLst>
        </xdr:cNvPr>
        <xdr:cNvSpPr/>
      </xdr:nvSpPr>
      <xdr:spPr bwMode="auto">
        <a:xfrm>
          <a:off x="3680460" y="33020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31E86FC-DDE1-4CDB-9815-0803ADC8E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21665" cy="61404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8D5E4B3-9E16-42F8-A33B-0366E74E71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2CF27D-075A-4C5A-B00F-60DECB2C18A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0C3B845-865C-4046-9735-F9F59A1578F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ABF0CA-4347-4A8B-ACF7-6E28B5E21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04D862A-A59C-4C88-AFB9-9B7466F4B5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A2BA74-DD1F-40E1-BDFC-4923A1FB191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B406F7F-790F-4A7A-96CF-C46DB1C7DF1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304D5F3-BF4A-4343-9B3A-9C9DE055F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FFEA2E-4A83-4803-80B8-A24B9557EE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AC6E21-AAF5-453F-B086-8B6E5A288B1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7BDB10D-CCFB-468C-BA2F-DD5610D4228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AA49761-AAE3-40D9-AEFD-6C5372D3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86FF016-2459-4159-894D-E1557D1BB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53046FA-CAD4-42A0-B337-D7268D29DF1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BED4A0D-13A3-485A-87B0-5C676B346BD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EF7DFF5-B6D3-4D8A-9625-ED0329031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820B7FA-F558-481E-808C-95BE258ECC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8A0E924-4F88-4361-8DF9-53371D1E921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E7D616A-630A-4029-9CCC-078C9609ABA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B3F51BF-9AD9-4902-8FB9-2F6097CA4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674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9C3EA3-4B42-4EB1-916B-29BF758E17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936AF18-F061-4FD3-8560-09B3F39A25F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AD8EF0D-2375-477B-AC1C-D9B1CA5A944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639E80-D312-4372-881E-657570C57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F032A2-42AC-4810-86BC-03F495170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1F37D1-0582-4004-8CF5-408937E131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4890748-45C9-406D-9963-ED38684F308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EC2333-D11A-4728-92EC-1513E2025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2E60DAA-09DB-435E-B4A2-A4E5A6B05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2E4416-D408-4072-94E3-C9DD596E9E6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373679B-749E-4839-859E-02E36220CDA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F5BD7D8-7DD6-4541-823F-69C50FBF3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22F0AAA-3FFC-43FD-95FF-C8AC0DB4EB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9851C8-4D90-46BD-A610-91E37EB3219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DB42632-3DC6-4466-BA46-3D362AC3D9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77DCDD3-0395-4B89-9F07-E6A0DD1A7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9655F8B-8E00-4651-BF3D-1EA55A673A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1205A6-DB53-4AED-BA33-A9DB105F10E1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84659B0-0999-4A39-A93F-03270691C1E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BBBF228-6119-42EF-8609-2B8C36413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8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FF1619E-6E3E-4857-8917-4D92BC3E3B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587587-28DB-48DB-9543-E5DA6CB1919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C1EE8A1-BB55-4B2D-B903-26B2592B364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7F18843-7078-4680-832E-94F1BE50B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DEC5B93-28A1-440C-BB52-FE03C4CC5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DF8850-0EC4-48D1-B7C6-54246FF158AA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DDD97F7-E350-498F-8F8A-032A7385D6D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99BFA3-AEA3-435C-88CB-C8E11082D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5123537-1D6F-45D3-83AB-005B9773D6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DD8D56-F82A-412C-A72C-5C875CCE207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B0AE189-5F58-43D6-B1FD-2B349CCF070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4436EF-37F7-426C-94F4-1D7A8472F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10D2E68-2C25-4075-B774-A23350EC66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B19DDB5-F00A-4321-811A-FF9D9DE05E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DF0E4113-AE47-4738-9CBC-80C78FDABB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0955C8-40F7-4568-B30D-FC4D1535A0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3CFA3DC-65E9-4BCD-94D7-017C38AAE5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7D04480-642E-4408-A4A9-BFF99EF678A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FF3673A-021F-4BB2-A4FC-C757D6C09D9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9F857B3-4C4C-4529-8165-052AD89C2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3055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F95057A-4797-46A0-B341-C786DE75B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EC0F78-16D4-446F-8E77-2AB01853860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9ACE6D24-6962-414D-8C94-B52269335E8A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0AA590-4385-41D0-8FB2-F890A2843D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261D67FF-CF85-43DB-AD07-BA594D0A9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A4B1BC-75A7-4D63-A669-2F4AAFD614D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DBDC644-6D2D-4739-B3E9-45F49C8796F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538512-6A6C-4488-9B33-F17302650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419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45E737B-1887-44B8-8EA2-F466F1285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619A94-F3F9-4070-9C55-475D8FF32F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79E2996-A759-4348-AA56-58DF8D92310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CA0480-EECD-43A8-BEBA-C4998DAD0B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A72E163-407C-4F53-82F8-5117ED874C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547072-0527-4D2E-A1AB-0B6DD3F1DA9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F89CB68-92C8-455F-85E6-882919DBF99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CA28DA-27BC-4A43-A66E-56CF0AFDD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6A3A140-E416-4298-BD8D-1978671396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1E99967-D187-438C-BA42-D94F7365472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C974C5A-B0FB-442C-A3FB-422CA2EEBF8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A5C2FA9-B984-4104-BC58-C7DBDF72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28BC818-C921-4B67-B480-ECC13539F5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99ACDA6-A701-4A0E-A141-E2738E2B4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3E0CE4D-7CA4-47E0-85F8-86947A6A7AA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E002C9-3317-41A7-B070-B689508B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FE11DFA-450B-46AB-B08E-C1AA5E1964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81D7A5A-4B16-49FD-8246-D1DD2901B0A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7694B7-F5D0-4C5A-9DC3-0803277D89E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E7AA612-C130-47DA-B0A1-ECA412F32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E2BE205-2067-4731-B2E9-C020FD247D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D4FDAE6-99F4-4B8E-88F3-0C9586E22C7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E3E3F0-83DC-4ABC-B200-B2FCB5B915E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F29ABEB-7C15-4FED-B7AF-20265A416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853CA8B-C38B-4750-B2FE-273CC703E8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90654B6-5C4B-493A-ABC8-623100698042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8701C39-D54B-482F-8A68-5594F642C78F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19B3D9B-25E5-45C2-96A7-03B8A8DC5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5353" y="275789"/>
          <a:ext cx="611806" cy="6094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515783B-1990-4D6F-9F26-AD66C0D13A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50528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CE78A3-180D-400B-81FA-14CA98B5371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3C089B7-8538-4EDE-B637-F67A7340270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253365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100B96-8AEA-48EF-B572-857BA44EE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6745" cy="630555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2B050B6F-70F6-41DD-A53F-356FBD17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8289" y="0"/>
          <a:ext cx="968712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A2220F4-BBFA-443C-8915-916667AF0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79494" y="0"/>
          <a:ext cx="966807" cy="9758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18CAC5-C6D0-4E12-86E2-EF66007AB5A6}"/>
            </a:ext>
          </a:extLst>
        </xdr:cNvPr>
        <xdr:cNvSpPr/>
      </xdr:nvSpPr>
      <xdr:spPr bwMode="auto">
        <a:xfrm>
          <a:off x="3535680" y="0"/>
          <a:ext cx="2118360" cy="928551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BAD44BB-A079-43FC-BD44-AA898B5FC222}"/>
            </a:ext>
          </a:extLst>
        </xdr:cNvPr>
        <xdr:cNvSpPr/>
      </xdr:nvSpPr>
      <xdr:spPr bwMode="auto">
        <a:xfrm>
          <a:off x="3680460" y="333103"/>
          <a:ext cx="924197" cy="496388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256903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2DA48A-7E3C-4F13-A464-2947D1E79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5929" cy="61259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648D3-DF78-40A7-8A8D-9C900B69D7C5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7A41-182C-47CA-A3C6-C5C5E53F5A61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D7C9-B6BF-490A-A269-C2293AAD2F64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32AF1-A1D9-4C0D-94EB-7D623ADE33A8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1E332-195A-487C-975D-16A36BB791EB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>
        <v>0</v>
      </c>
      <c r="K23" s="124" t="s">
        <v>294</v>
      </c>
      <c r="L23" s="125">
        <v>3</v>
      </c>
      <c r="M23" s="126" t="str">
        <f>Scheids!$D$6</f>
        <v>Ruud van Oosten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>
        <v>1</v>
      </c>
      <c r="K24" s="124" t="s">
        <v>294</v>
      </c>
      <c r="L24" s="125">
        <v>2</v>
      </c>
      <c r="M24" s="126" t="str">
        <f>Scheids!$D$6</f>
        <v>Ruud van Oosten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>
        <v>0</v>
      </c>
      <c r="K25" s="124" t="s">
        <v>294</v>
      </c>
      <c r="L25" s="125">
        <v>3</v>
      </c>
      <c r="M25" s="126" t="str">
        <f>Scheids!$D$6</f>
        <v>Ruud van Oosten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>
        <v>0</v>
      </c>
      <c r="K26" s="124" t="s">
        <v>294</v>
      </c>
      <c r="L26" s="125">
        <v>0</v>
      </c>
      <c r="M26" s="126" t="str">
        <f>Scheids!$F$6</f>
        <v>Guus Heemskerk</v>
      </c>
      <c r="N26" s="127"/>
      <c r="O26" s="128"/>
      <c r="Q26" s="129">
        <v>1</v>
      </c>
      <c r="R26" s="129">
        <v>1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>
        <v>1</v>
      </c>
      <c r="K27" s="124" t="s">
        <v>294</v>
      </c>
      <c r="L27" s="125">
        <v>0</v>
      </c>
      <c r="M27" s="126" t="str">
        <f>Scheids!$F$6</f>
        <v>Guus Heemskerk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>
        <v>1</v>
      </c>
      <c r="K28" s="124" t="s">
        <v>294</v>
      </c>
      <c r="L28" s="125">
        <v>0</v>
      </c>
      <c r="M28" s="126" t="str">
        <f>Scheids!$F$6</f>
        <v>Guus Heemskerk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>
        <v>3</v>
      </c>
      <c r="K29" s="124" t="s">
        <v>294</v>
      </c>
      <c r="L29" s="125">
        <v>0</v>
      </c>
      <c r="M29" s="126" t="str">
        <f>Scheids!$D$6</f>
        <v>Ruud van Oosten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>
        <v>3</v>
      </c>
      <c r="K30" s="124" t="s">
        <v>294</v>
      </c>
      <c r="L30" s="125">
        <v>0</v>
      </c>
      <c r="M30" s="126" t="str">
        <f>Scheids!$D$6</f>
        <v>Ruud van Oosten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>
        <v>0</v>
      </c>
      <c r="K31" s="124" t="s">
        <v>294</v>
      </c>
      <c r="L31" s="125">
        <v>0</v>
      </c>
      <c r="M31" s="126" t="str">
        <f>Scheids!$D$6</f>
        <v>Ruud van Oosten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>
        <v>0</v>
      </c>
      <c r="K32" s="124" t="s">
        <v>294</v>
      </c>
      <c r="L32" s="125">
        <v>6</v>
      </c>
      <c r="M32" s="126" t="str">
        <f>Scheids!$F$6</f>
        <v>Guus Heemskerk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>
        <v>1</v>
      </c>
      <c r="K33" s="124" t="s">
        <v>294</v>
      </c>
      <c r="L33" s="125">
        <v>0</v>
      </c>
      <c r="M33" s="126" t="str">
        <f>Scheids!$F$6</f>
        <v>Guus Heemskerk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>
        <v>0</v>
      </c>
      <c r="K34" s="124" t="s">
        <v>294</v>
      </c>
      <c r="L34" s="125">
        <v>3</v>
      </c>
      <c r="M34" s="126" t="str">
        <f>Scheids!$F$6</f>
        <v>Guus Heemskerk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>
        <v>1</v>
      </c>
      <c r="K35" s="124" t="s">
        <v>294</v>
      </c>
      <c r="L35" s="125">
        <v>2</v>
      </c>
      <c r="M35" s="126" t="str">
        <f>Scheids!$D$6</f>
        <v>Ruud van Oosten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>
        <v>3</v>
      </c>
      <c r="K36" s="124" t="s">
        <v>294</v>
      </c>
      <c r="L36" s="125">
        <v>0</v>
      </c>
      <c r="M36" s="126" t="str">
        <f>Scheids!$D$6</f>
        <v>Ruud van Oosten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7</v>
      </c>
      <c r="R41" s="152">
        <f>COUNTIFS(E41:N41,3)</f>
        <v>0</v>
      </c>
      <c r="S41" s="152">
        <f>COUNTIFS(E41:N41,0)</f>
        <v>7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21</v>
      </c>
      <c r="W41" s="152">
        <f>Q11+R18+Q21+Q23+R29+Q34+R36</f>
        <v>13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15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11</v>
      </c>
      <c r="V42" s="152">
        <f>J11+L15+J19+L25+L28+L33+J37</f>
        <v>3</v>
      </c>
      <c r="W42" s="152">
        <f>R11+Q15+R19+Q25+Q28+Q33+R37</f>
        <v>11</v>
      </c>
      <c r="X42" s="129">
        <f t="shared" si="1"/>
        <v>2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3</v>
      </c>
      <c r="O43" s="157" cm="1">
        <f t="array" ref="O43">IF(SUMPRODUCT(--(E43:N43&lt;&gt;""))&lt;&gt;0,SUM(E43:N43),"")</f>
        <v>10</v>
      </c>
      <c r="Q43" s="152">
        <f t="shared" si="0"/>
        <v>7</v>
      </c>
      <c r="R43" s="152">
        <f t="shared" si="2"/>
        <v>3</v>
      </c>
      <c r="S43" s="152">
        <f t="shared" si="3"/>
        <v>3</v>
      </c>
      <c r="T43" s="152">
        <f t="shared" si="4"/>
        <v>1</v>
      </c>
      <c r="U43" s="152">
        <f>J12+L15+J20+L23+J27+J32+L35</f>
        <v>6</v>
      </c>
      <c r="V43" s="152">
        <f>L12+J15+L20+J23+L27+L32+J35</f>
        <v>12</v>
      </c>
      <c r="W43" s="152">
        <f>Q12+R15+Q20+R23+Q27+Q32+R35</f>
        <v>12</v>
      </c>
      <c r="X43" s="129">
        <f t="shared" si="1"/>
        <v>4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58"/>
      <c r="M44" s="156">
        <f>IF(AND($J$31&lt;&gt;"",$L$31&lt;&gt;""),IF($J$31&lt;$L$31,3,IF($J$31=$L$31,1,0)),"")</f>
        <v>1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8</v>
      </c>
      <c r="V44" s="152">
        <f>J12+L16+L19+J24+L29+J31+J38</f>
        <v>3</v>
      </c>
      <c r="W44" s="152">
        <f>R12+Q16+Q19+R24+Q29+R31+R38</f>
        <v>12</v>
      </c>
      <c r="X44" s="129">
        <f t="shared" si="1"/>
        <v>3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1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6</v>
      </c>
      <c r="R45" s="152">
        <f t="shared" si="2"/>
        <v>1</v>
      </c>
      <c r="S45" s="152">
        <f t="shared" si="3"/>
        <v>3</v>
      </c>
      <c r="T45" s="152">
        <f t="shared" si="4"/>
        <v>2</v>
      </c>
      <c r="U45" s="152">
        <f>J13+L16+L20+J26+L30+L34+J37</f>
        <v>3</v>
      </c>
      <c r="V45" s="152">
        <f>L13+J16+J20+L26+J30+J34+L37</f>
        <v>6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7</v>
      </c>
      <c r="Q46" s="152">
        <f t="shared" si="0"/>
        <v>7</v>
      </c>
      <c r="R46" s="152">
        <f t="shared" si="2"/>
        <v>2</v>
      </c>
      <c r="S46" s="152">
        <f t="shared" si="3"/>
        <v>4</v>
      </c>
      <c r="T46" s="152">
        <f t="shared" si="4"/>
        <v>1</v>
      </c>
      <c r="U46" s="152">
        <f>L13+J17+J22+J24+L27+L33+J36</f>
        <v>5</v>
      </c>
      <c r="V46" s="152">
        <f>J13+L17+L22+L24+J27+J33+L36</f>
        <v>6</v>
      </c>
      <c r="W46" s="152">
        <f>R13+Q17+Q22+Q24+R27+R33+Q36</f>
        <v>13</v>
      </c>
      <c r="X46" s="129">
        <f t="shared" si="1"/>
        <v>5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18</v>
      </c>
      <c r="Q47" s="152">
        <f t="shared" si="0"/>
        <v>6</v>
      </c>
      <c r="R47" s="152">
        <f t="shared" si="2"/>
        <v>6</v>
      </c>
      <c r="S47" s="152">
        <f t="shared" si="3"/>
        <v>0</v>
      </c>
      <c r="T47" s="152">
        <f t="shared" si="4"/>
        <v>0</v>
      </c>
      <c r="U47" s="152">
        <f>J14+L17+L21+L25+J30+L32+J38</f>
        <v>23</v>
      </c>
      <c r="V47" s="152">
        <f>L14+J17+J21+J25+L30+J32+L38</f>
        <v>0</v>
      </c>
      <c r="W47" s="152">
        <f>Q14+R17+R21+R25+Q30+R32+Q38</f>
        <v>11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1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1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6</v>
      </c>
      <c r="Q48" s="152">
        <f t="shared" si="0"/>
        <v>7</v>
      </c>
      <c r="R48" s="152">
        <f t="shared" si="2"/>
        <v>1</v>
      </c>
      <c r="S48" s="152">
        <f t="shared" si="3"/>
        <v>3</v>
      </c>
      <c r="T48" s="152">
        <f t="shared" si="4"/>
        <v>3</v>
      </c>
      <c r="U48" s="152">
        <f>L14+J18+L22+L26+L28+J31+J35</f>
        <v>4</v>
      </c>
      <c r="V48" s="152">
        <f>J14+L18+J22+J26+J28+L31+L35</f>
        <v>9</v>
      </c>
      <c r="W48" s="152">
        <f>+R14+Q18+R22+R26+R28+Q31+Q35</f>
        <v>12</v>
      </c>
      <c r="X48" s="129">
        <f t="shared" si="1"/>
        <v>6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EC9B-CAC9-42D7-A8F5-89833A560F4A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>
        <v>3</v>
      </c>
      <c r="K11" s="110" t="s">
        <v>294</v>
      </c>
      <c r="L11" s="111">
        <v>0</v>
      </c>
      <c r="M11" s="112" t="str">
        <f>Scheids!$D$7</f>
        <v>Marcel de Letter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>
        <v>0</v>
      </c>
      <c r="K13" s="124" t="s">
        <v>294</v>
      </c>
      <c r="L13" s="125">
        <v>5</v>
      </c>
      <c r="M13" s="126" t="str">
        <f>Scheids!$D$7</f>
        <v>Marcel de Letter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>
        <v>3</v>
      </c>
      <c r="K23" s="124" t="s">
        <v>294</v>
      </c>
      <c r="L23" s="125">
        <v>0</v>
      </c>
      <c r="M23" s="126" t="str">
        <f>Scheids!$F$7</f>
        <v>Gerard Zoet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>
        <v>0</v>
      </c>
      <c r="K24" s="124" t="s">
        <v>294</v>
      </c>
      <c r="L24" s="125">
        <v>0</v>
      </c>
      <c r="M24" s="126" t="str">
        <f>Scheids!$F$7</f>
        <v>Gerard Zoet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>
        <v>0</v>
      </c>
      <c r="K25" s="124" t="s">
        <v>294</v>
      </c>
      <c r="L25" s="125">
        <v>1</v>
      </c>
      <c r="M25" s="126" t="str">
        <f>Scheids!$F$7</f>
        <v>Gerard Zoet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>
        <v>0</v>
      </c>
      <c r="K27" s="124" t="s">
        <v>294</v>
      </c>
      <c r="L27" s="125">
        <v>5</v>
      </c>
      <c r="M27" s="126" t="str">
        <f>Scheids!$D$7</f>
        <v>Marcel de Letter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>
        <v>0</v>
      </c>
      <c r="K29" s="124" t="s">
        <v>294</v>
      </c>
      <c r="L29" s="125">
        <v>2</v>
      </c>
      <c r="M29" s="126" t="str">
        <f>Scheids!$D$7</f>
        <v>Marcel de Letter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>
        <v>0</v>
      </c>
      <c r="K30" s="124" t="s">
        <v>294</v>
      </c>
      <c r="L30" s="125">
        <v>0</v>
      </c>
      <c r="M30" s="126" t="str">
        <f>Scheids!$D$7</f>
        <v>Marcel de Letter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>
        <v>0</v>
      </c>
      <c r="K32" s="124" t="s">
        <v>294</v>
      </c>
      <c r="L32" s="125">
        <v>0</v>
      </c>
      <c r="M32" s="126" t="str">
        <f>Scheids!$F$7</f>
        <v>Gerard Zoet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>
        <v>0</v>
      </c>
      <c r="K33" s="124" t="s">
        <v>294</v>
      </c>
      <c r="L33" s="125">
        <v>2</v>
      </c>
      <c r="M33" s="126" t="str">
        <f>Scheids!$F$7</f>
        <v>Gerard Zoet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>
        <v>2</v>
      </c>
      <c r="K34" s="124" t="s">
        <v>294</v>
      </c>
      <c r="L34" s="125">
        <v>0</v>
      </c>
      <c r="M34" s="126" t="str">
        <f>Scheids!$F$7</f>
        <v>Gerard Zoet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>
        <v>1</v>
      </c>
      <c r="K36" s="124" t="s">
        <v>294</v>
      </c>
      <c r="L36" s="125">
        <v>0</v>
      </c>
      <c r="M36" s="126" t="str">
        <f>Scheids!$D$7</f>
        <v>Marcel de Letter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12</v>
      </c>
      <c r="V41" s="152">
        <f>L11+J18+L21+L23+J29+L34+J36</f>
        <v>1</v>
      </c>
      <c r="W41" s="152">
        <f>Q11+R18+Q21+Q23+R29+Q34+R36</f>
        <v>8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5</v>
      </c>
      <c r="R42" s="152">
        <f t="shared" ref="R42:R48" si="2">COUNTIFS(E42:N42,3)</f>
        <v>0</v>
      </c>
      <c r="S42" s="152">
        <f t="shared" ref="S42:S48" si="3">COUNTIFS(E42:N42,0)</f>
        <v>4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7</v>
      </c>
      <c r="W42" s="152">
        <f>R11+Q15+R19+Q25+Q28+Q33+R37</f>
        <v>8</v>
      </c>
      <c r="X42" s="129">
        <f t="shared" si="1"/>
        <v>7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0</v>
      </c>
      <c r="S43" s="152">
        <f t="shared" si="3"/>
        <v>2</v>
      </c>
      <c r="T43" s="152">
        <f t="shared" si="4"/>
        <v>4</v>
      </c>
      <c r="U43" s="152">
        <f>J12+L15+J20+L23+J27+J32+L35</f>
        <v>0</v>
      </c>
      <c r="V43" s="152">
        <f>L12+J15+L20+J23+L27+L32+J35</f>
        <v>8</v>
      </c>
      <c r="W43" s="152">
        <f>Q12+R15+Q20+R23+Q27+Q32+R35</f>
        <v>9</v>
      </c>
      <c r="X43" s="129">
        <f t="shared" si="1"/>
        <v>5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8</v>
      </c>
      <c r="Q44" s="152">
        <f t="shared" si="0"/>
        <v>5</v>
      </c>
      <c r="R44" s="152">
        <f t="shared" si="2"/>
        <v>2</v>
      </c>
      <c r="S44" s="152">
        <f t="shared" si="3"/>
        <v>1</v>
      </c>
      <c r="T44" s="152">
        <f t="shared" si="4"/>
        <v>2</v>
      </c>
      <c r="U44" s="152">
        <f>L12+J16+J19+L24+J29+L31+L38</f>
        <v>2</v>
      </c>
      <c r="V44" s="152">
        <f>J12+L16+L19+J24+L29+J31+J38</f>
        <v>2</v>
      </c>
      <c r="W44" s="152">
        <f>R12+Q16+Q19+R24+Q29+R31+R38</f>
        <v>7</v>
      </c>
      <c r="X44" s="129">
        <f t="shared" si="1"/>
        <v>3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16</v>
      </c>
      <c r="Q46" s="152">
        <f t="shared" si="0"/>
        <v>6</v>
      </c>
      <c r="R46" s="152">
        <f t="shared" si="2"/>
        <v>5</v>
      </c>
      <c r="S46" s="152">
        <f t="shared" si="3"/>
        <v>0</v>
      </c>
      <c r="T46" s="152">
        <f t="shared" si="4"/>
        <v>1</v>
      </c>
      <c r="U46" s="152">
        <f>L13+J17+J22+J24+L27+L33+J36</f>
        <v>16</v>
      </c>
      <c r="V46" s="152">
        <f>J13+L17+L22+L24+J27+J33+L36</f>
        <v>0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5</v>
      </c>
      <c r="R47" s="152">
        <f t="shared" si="2"/>
        <v>1</v>
      </c>
      <c r="S47" s="152">
        <f t="shared" si="3"/>
        <v>2</v>
      </c>
      <c r="T47" s="152">
        <f t="shared" si="4"/>
        <v>2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8</v>
      </c>
      <c r="X47" s="129">
        <f t="shared" si="1"/>
        <v>4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4F3AF-EE13-413E-936F-B1C6CA093F79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>
        <v>3</v>
      </c>
      <c r="K23" s="124" t="s">
        <v>294</v>
      </c>
      <c r="L23" s="125">
        <v>1</v>
      </c>
      <c r="M23" s="126" t="str">
        <f>Scheids!$D$8</f>
        <v>Louis vd Weijde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>
        <v>3</v>
      </c>
      <c r="K24" s="124" t="s">
        <v>294</v>
      </c>
      <c r="L24" s="125">
        <v>0</v>
      </c>
      <c r="M24" s="126" t="str">
        <f>Scheids!$D$8</f>
        <v>Louis vd Weijde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>
        <v>1</v>
      </c>
      <c r="K25" s="124" t="s">
        <v>294</v>
      </c>
      <c r="L25" s="125">
        <v>4</v>
      </c>
      <c r="M25" s="126" t="str">
        <f>Scheids!$D$8</f>
        <v>Louis vd Weijde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>
        <v>2</v>
      </c>
      <c r="K26" s="124" t="s">
        <v>294</v>
      </c>
      <c r="L26" s="125">
        <v>0</v>
      </c>
      <c r="M26" s="126" t="str">
        <f>Scheids!$F$8</f>
        <v>Marcel den Os</v>
      </c>
      <c r="N26" s="127"/>
      <c r="O26" s="128"/>
      <c r="Q26" s="129">
        <v>1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>
        <v>5</v>
      </c>
      <c r="K27" s="124" t="s">
        <v>294</v>
      </c>
      <c r="L27" s="125">
        <v>0</v>
      </c>
      <c r="M27" s="126" t="str">
        <f>Scheids!$F$8</f>
        <v>Marcel den Os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>
        <v>2</v>
      </c>
      <c r="K28" s="124" t="s">
        <v>294</v>
      </c>
      <c r="L28" s="125">
        <v>0</v>
      </c>
      <c r="M28" s="126" t="str">
        <f>Scheids!$F$8</f>
        <v>Marcel den Os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>
        <v>0</v>
      </c>
      <c r="K29" s="124" t="s">
        <v>294</v>
      </c>
      <c r="L29" s="125">
        <v>4</v>
      </c>
      <c r="M29" s="126" t="str">
        <f>Scheids!$D$8</f>
        <v>Louis vd Weijde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>
        <v>0</v>
      </c>
      <c r="K30" s="124" t="s">
        <v>294</v>
      </c>
      <c r="L30" s="125">
        <v>3</v>
      </c>
      <c r="M30" s="126" t="str">
        <f>Scheids!$D$8</f>
        <v>Louis vd Weijde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>
        <v>1</v>
      </c>
      <c r="K31" s="124" t="s">
        <v>294</v>
      </c>
      <c r="L31" s="125">
        <v>0</v>
      </c>
      <c r="M31" s="126" t="str">
        <f>Scheids!$D$8</f>
        <v>Louis vd Weijde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>
        <v>3</v>
      </c>
      <c r="K32" s="124" t="s">
        <v>294</v>
      </c>
      <c r="L32" s="125">
        <v>1</v>
      </c>
      <c r="M32" s="126" t="str">
        <f>Scheids!$F$8</f>
        <v>Marcel den Os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>
        <v>0</v>
      </c>
      <c r="K33" s="124" t="s">
        <v>294</v>
      </c>
      <c r="L33" s="125">
        <v>0</v>
      </c>
      <c r="M33" s="126" t="str">
        <f>Scheids!$F$8</f>
        <v>Marcel den Os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>
        <v>0</v>
      </c>
      <c r="K34" s="124" t="s">
        <v>294</v>
      </c>
      <c r="L34" s="125">
        <v>2</v>
      </c>
      <c r="M34" s="126" t="str">
        <f>Scheids!$F$8</f>
        <v>Marcel den Os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>
        <v>0</v>
      </c>
      <c r="K35" s="124" t="s">
        <v>294</v>
      </c>
      <c r="L35" s="125">
        <v>2</v>
      </c>
      <c r="M35" s="126" t="str">
        <f>Scheids!$D$8</f>
        <v>Louis vd Weijde</v>
      </c>
      <c r="N35" s="127"/>
      <c r="O35" s="128"/>
      <c r="Q35" s="129">
        <v>1</v>
      </c>
      <c r="R35" s="129">
        <v>1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>
        <v>4</v>
      </c>
      <c r="K36" s="124" t="s">
        <v>294</v>
      </c>
      <c r="L36" s="125">
        <v>1</v>
      </c>
      <c r="M36" s="126" t="str">
        <f>Scheids!$D$8</f>
        <v>Louis vd Weijde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13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2</v>
      </c>
      <c r="T41" s="152">
        <f>COUNTIFS(E41:N41,1)</f>
        <v>1</v>
      </c>
      <c r="U41" s="152">
        <f>J11+L18+J21+J23+L29+J34+L36</f>
        <v>17</v>
      </c>
      <c r="V41" s="152">
        <f>L11+J18+L21+L23+J29+L34+J36</f>
        <v>11</v>
      </c>
      <c r="W41" s="152">
        <f>Q11+R18+Q21+Q23+R29+Q34+R36</f>
        <v>9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3</v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7</v>
      </c>
      <c r="Q42" s="152">
        <f t="shared" si="0"/>
        <v>6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13</v>
      </c>
      <c r="W42" s="152">
        <f>R11+Q15+R19+Q25+Q28+Q33+R37</f>
        <v>9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>
        <f>IF(AND($J$35&lt;&gt;"",$L$35&lt;&gt;""),IF($J$35&lt;$L$35,3,IF($J$35=$L$35,1,0)),"")</f>
        <v>3</v>
      </c>
      <c r="O43" s="157" cm="1">
        <f t="array" ref="O43">IF(SUMPRODUCT(--(E43:N43&lt;&gt;""))&lt;&gt;0,SUM(E43:N43),"")</f>
        <v>16</v>
      </c>
      <c r="Q43" s="152">
        <f t="shared" si="0"/>
        <v>7</v>
      </c>
      <c r="R43" s="152">
        <f t="shared" si="2"/>
        <v>5</v>
      </c>
      <c r="S43" s="152">
        <f t="shared" si="3"/>
        <v>1</v>
      </c>
      <c r="T43" s="152">
        <f t="shared" si="4"/>
        <v>1</v>
      </c>
      <c r="U43" s="152">
        <f>J12+L15+J20+L23+J27+J32+L35</f>
        <v>21</v>
      </c>
      <c r="V43" s="152">
        <f>L12+J15+L20+J23+L27+L32+J35</f>
        <v>7</v>
      </c>
      <c r="W43" s="152">
        <f>Q12+R15+Q20+R23+Q27+Q32+R35</f>
        <v>11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6</v>
      </c>
      <c r="R44" s="152">
        <f t="shared" si="2"/>
        <v>0</v>
      </c>
      <c r="S44" s="152">
        <f t="shared" si="3"/>
        <v>6</v>
      </c>
      <c r="T44" s="152">
        <f t="shared" si="4"/>
        <v>0</v>
      </c>
      <c r="U44" s="152">
        <f>L12+J16+J19+L24+J29+L31+L38</f>
        <v>0</v>
      </c>
      <c r="V44" s="152">
        <f>J12+L16+L19+J24+L29+J31+J38</f>
        <v>19</v>
      </c>
      <c r="W44" s="152">
        <f>R12+Q16+Q19+R24+Q29+R31+R38</f>
        <v>8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16</v>
      </c>
      <c r="Q45" s="152">
        <f t="shared" si="0"/>
        <v>6</v>
      </c>
      <c r="R45" s="152">
        <f t="shared" si="2"/>
        <v>5</v>
      </c>
      <c r="S45" s="152">
        <f t="shared" si="3"/>
        <v>0</v>
      </c>
      <c r="T45" s="152">
        <f t="shared" si="4"/>
        <v>1</v>
      </c>
      <c r="U45" s="152">
        <f>J13+L16+L20+J26+L30+L34+J37</f>
        <v>15</v>
      </c>
      <c r="V45" s="152">
        <f>L13+J16+J20+L26+J30+J34+L37</f>
        <v>2</v>
      </c>
      <c r="W45" s="152">
        <f>Q13+R16+R20+Q26+R30+R34+Q37</f>
        <v>7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13</v>
      </c>
      <c r="Q46" s="152">
        <f t="shared" si="0"/>
        <v>7</v>
      </c>
      <c r="R46" s="152">
        <f t="shared" si="2"/>
        <v>4</v>
      </c>
      <c r="S46" s="152">
        <f t="shared" si="3"/>
        <v>2</v>
      </c>
      <c r="T46" s="152">
        <f t="shared" si="4"/>
        <v>1</v>
      </c>
      <c r="U46" s="152">
        <f>L13+J17+J22+J24+L27+L33+J36</f>
        <v>14</v>
      </c>
      <c r="V46" s="152">
        <f>J13+L17+L22+L24+J27+J33+L36</f>
        <v>7</v>
      </c>
      <c r="W46" s="152">
        <f>R13+Q17+Q22+Q24+R27+R33+Q36</f>
        <v>9</v>
      </c>
      <c r="X46" s="129">
        <f t="shared" si="1"/>
        <v>3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2"/>
        <v>2</v>
      </c>
      <c r="S47" s="152">
        <f t="shared" si="3"/>
        <v>4</v>
      </c>
      <c r="T47" s="152">
        <f t="shared" si="4"/>
        <v>0</v>
      </c>
      <c r="U47" s="152">
        <f>J14+L17+L21+L25+J30+L32+J38</f>
        <v>7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0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4</v>
      </c>
      <c r="Q48" s="152">
        <f t="shared" si="0"/>
        <v>7</v>
      </c>
      <c r="R48" s="152">
        <f t="shared" si="2"/>
        <v>1</v>
      </c>
      <c r="S48" s="152">
        <f t="shared" si="3"/>
        <v>5</v>
      </c>
      <c r="T48" s="152">
        <f t="shared" si="4"/>
        <v>1</v>
      </c>
      <c r="U48" s="152">
        <f>L14+J18+L22+L26+L28+J31+J35</f>
        <v>3</v>
      </c>
      <c r="V48" s="152">
        <f>J14+L18+J22+J26+J28+L31+L35</f>
        <v>15</v>
      </c>
      <c r="W48" s="152">
        <f>+R14+Q18+R22+R26+R28+Q31+Q35</f>
        <v>12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26EC-D563-40A2-9278-207F13CED7AA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>
        <v>5</v>
      </c>
      <c r="K23" s="124" t="s">
        <v>294</v>
      </c>
      <c r="L23" s="125">
        <v>0</v>
      </c>
      <c r="M23" s="126" t="str">
        <f>Scheids!$F$9</f>
        <v>Dik vd Mast</v>
      </c>
      <c r="N23" s="127"/>
      <c r="O23" s="128"/>
      <c r="Q23" s="129">
        <v>1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>
        <v>1</v>
      </c>
      <c r="K24" s="124" t="s">
        <v>294</v>
      </c>
      <c r="L24" s="125">
        <v>3</v>
      </c>
      <c r="M24" s="126" t="str">
        <f>Scheids!$F$9</f>
        <v>Dik vd Mast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>
        <v>0</v>
      </c>
      <c r="K25" s="124" t="s">
        <v>294</v>
      </c>
      <c r="L25" s="125">
        <v>2</v>
      </c>
      <c r="M25" s="126" t="str">
        <f>Scheids!$F$9</f>
        <v>Dik vd Mast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>
        <v>1</v>
      </c>
      <c r="K27" s="124" t="s">
        <v>294</v>
      </c>
      <c r="L27" s="125">
        <v>0</v>
      </c>
      <c r="M27" s="126" t="str">
        <f>Scheids!$D$9</f>
        <v>Chris van Noordwijk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>
        <v>2</v>
      </c>
      <c r="K29" s="124" t="s">
        <v>294</v>
      </c>
      <c r="L29" s="125">
        <v>3</v>
      </c>
      <c r="M29" s="126" t="str">
        <f>Scheids!$D$9</f>
        <v>Chris van Noordwijk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>
        <v>0</v>
      </c>
      <c r="K30" s="124" t="s">
        <v>294</v>
      </c>
      <c r="L30" s="125">
        <v>4</v>
      </c>
      <c r="M30" s="126" t="str">
        <f>Scheids!$D$9</f>
        <v>Chris van Noordwijk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>
        <v>0</v>
      </c>
      <c r="K32" s="124" t="s">
        <v>294</v>
      </c>
      <c r="L32" s="125">
        <v>1</v>
      </c>
      <c r="M32" s="126" t="str">
        <f>Scheids!$F$9</f>
        <v>Dik vd Mast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>
        <v>0</v>
      </c>
      <c r="K33" s="124" t="s">
        <v>294</v>
      </c>
      <c r="L33" s="125">
        <v>1</v>
      </c>
      <c r="M33" s="126" t="str">
        <f>Scheids!$F$9</f>
        <v>Dik vd Mast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>
        <v>2</v>
      </c>
      <c r="K34" s="124" t="s">
        <v>294</v>
      </c>
      <c r="L34" s="125">
        <v>3</v>
      </c>
      <c r="M34" s="126" t="str">
        <f>Scheids!$F$9</f>
        <v>Dik vd Mast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>
        <v>0</v>
      </c>
      <c r="K36" s="124" t="s">
        <v>294</v>
      </c>
      <c r="L36" s="125">
        <v>2</v>
      </c>
      <c r="M36" s="126" t="str">
        <f>Scheids!$D$9</f>
        <v>Chris van Noordwijk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12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2</v>
      </c>
      <c r="T41" s="152">
        <f>COUNTIFS(E41:N41,1)</f>
        <v>0</v>
      </c>
      <c r="U41" s="152">
        <f>J11+L18+J21+J23+L29+J34+L36</f>
        <v>15</v>
      </c>
      <c r="V41" s="152">
        <f>L11+J18+L21+L23+J29+L34+J36</f>
        <v>8</v>
      </c>
      <c r="W41" s="152">
        <f>Q11+R18+Q21+Q23+R29+Q34+R36</f>
        <v>5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9</v>
      </c>
      <c r="W42" s="152">
        <f>R11+Q15+R19+Q25+Q28+Q33+R37</f>
        <v>9</v>
      </c>
      <c r="X42" s="129">
        <f t="shared" si="1"/>
        <v>6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2</v>
      </c>
      <c r="S43" s="152">
        <f t="shared" si="3"/>
        <v>4</v>
      </c>
      <c r="T43" s="152">
        <f t="shared" si="4"/>
        <v>0</v>
      </c>
      <c r="U43" s="152">
        <f>J12+L15+J20+L23+J27+J32+L35</f>
        <v>3</v>
      </c>
      <c r="V43" s="152">
        <f>L12+J15+L20+J23+L27+L32+J35</f>
        <v>15</v>
      </c>
      <c r="W43" s="152">
        <f>Q12+R15+Q20+R23+Q27+Q32+R35</f>
        <v>11</v>
      </c>
      <c r="X43" s="129">
        <f t="shared" si="1"/>
        <v>5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16</v>
      </c>
      <c r="V44" s="152">
        <f>J12+L16+L19+J24+L29+J31+J38</f>
        <v>5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5</v>
      </c>
      <c r="R45" s="152">
        <f t="shared" si="2"/>
        <v>4</v>
      </c>
      <c r="S45" s="152">
        <f t="shared" si="3"/>
        <v>0</v>
      </c>
      <c r="T45" s="152">
        <f t="shared" si="4"/>
        <v>1</v>
      </c>
      <c r="U45" s="152">
        <f>J13+L16+L20+J26+L30+L34+J37</f>
        <v>14</v>
      </c>
      <c r="V45" s="152">
        <f>L13+J16+J20+L26+J30+J34+L37</f>
        <v>3</v>
      </c>
      <c r="W45" s="152">
        <f>Q13+R16+R20+Q26+R30+R34+Q37</f>
        <v>9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2</v>
      </c>
      <c r="V46" s="152">
        <f>J13+L17+L22+L24+J27+J33+L36</f>
        <v>10</v>
      </c>
      <c r="W46" s="152">
        <f>R13+Q17+Q22+Q24+R27+R33+Q36</f>
        <v>9</v>
      </c>
      <c r="X46" s="129">
        <f t="shared" si="1"/>
        <v>6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5</v>
      </c>
      <c r="R47" s="152">
        <f t="shared" si="2"/>
        <v>3</v>
      </c>
      <c r="S47" s="152">
        <f t="shared" si="3"/>
        <v>2</v>
      </c>
      <c r="T47" s="152">
        <f t="shared" si="4"/>
        <v>0</v>
      </c>
      <c r="U47" s="152">
        <f>J14+L17+L21+L25+J30+L32+J38</f>
        <v>4</v>
      </c>
      <c r="V47" s="152">
        <f>L14+J17+J21+J25+L30+J32+L38</f>
        <v>7</v>
      </c>
      <c r="W47" s="152">
        <f>Q14+R17+R21+R25+Q30+R32+Q38</f>
        <v>10</v>
      </c>
      <c r="X47" s="129">
        <f t="shared" si="1"/>
        <v>4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181A-28B6-4A21-B9DA-7D7776C8420E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>
        <v>2</v>
      </c>
      <c r="K23" s="124" t="s">
        <v>294</v>
      </c>
      <c r="L23" s="125">
        <v>0</v>
      </c>
      <c r="M23" s="126" t="str">
        <f>Scheids!$F$10</f>
        <v>Henk Priem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>
        <v>4</v>
      </c>
      <c r="K24" s="124" t="s">
        <v>294</v>
      </c>
      <c r="L24" s="125">
        <v>0</v>
      </c>
      <c r="M24" s="126" t="str">
        <f>Scheids!$F$10</f>
        <v>Henk Priem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>
        <v>6</v>
      </c>
      <c r="K25" s="124" t="s">
        <v>294</v>
      </c>
      <c r="L25" s="125">
        <v>0</v>
      </c>
      <c r="M25" s="126" t="str">
        <f>Scheids!$F$10</f>
        <v>Henk Priem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>
        <v>0</v>
      </c>
      <c r="K27" s="124" t="s">
        <v>294</v>
      </c>
      <c r="L27" s="125">
        <v>1</v>
      </c>
      <c r="M27" s="126" t="str">
        <f>Scheids!$D$10</f>
        <v>Dion Dingler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>
        <v>0</v>
      </c>
      <c r="K29" s="124" t="s">
        <v>294</v>
      </c>
      <c r="L29" s="125">
        <v>0</v>
      </c>
      <c r="M29" s="126" t="str">
        <f>Scheids!$D$10</f>
        <v>Dion Dingler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>
        <v>0</v>
      </c>
      <c r="K30" s="124" t="s">
        <v>294</v>
      </c>
      <c r="L30" s="125">
        <v>0</v>
      </c>
      <c r="M30" s="126" t="str">
        <f>Scheids!$D$10</f>
        <v>Dion Dingler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>
        <v>3</v>
      </c>
      <c r="K32" s="124" t="s">
        <v>294</v>
      </c>
      <c r="L32" s="125">
        <v>0</v>
      </c>
      <c r="M32" s="126" t="str">
        <f>Scheids!$F$10</f>
        <v>Henk Priem</v>
      </c>
      <c r="N32" s="127"/>
      <c r="O32" s="128"/>
      <c r="Q32" s="129">
        <v>2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>
        <v>2</v>
      </c>
      <c r="K33" s="124" t="s">
        <v>294</v>
      </c>
      <c r="L33" s="125">
        <v>0</v>
      </c>
      <c r="M33" s="126" t="str">
        <f>Scheids!$F$10</f>
        <v>Henk Priem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>
        <v>5</v>
      </c>
      <c r="K34" s="124" t="s">
        <v>294</v>
      </c>
      <c r="L34" s="125">
        <v>0</v>
      </c>
      <c r="M34" s="126" t="str">
        <f>Scheids!$F$10</f>
        <v>Henk Priem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>
        <v>2</v>
      </c>
      <c r="K36" s="124" t="s">
        <v>294</v>
      </c>
      <c r="L36" s="125">
        <v>0</v>
      </c>
      <c r="M36" s="126" t="str">
        <f>Scheids!$D$10</f>
        <v>Dion Dingler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13</v>
      </c>
      <c r="Q41" s="152">
        <f t="shared" ref="Q41:Q48" si="0">COUNT(E41:N41)</f>
        <v>6</v>
      </c>
      <c r="R41" s="152">
        <f>COUNTIFS(E41:N41,3)</f>
        <v>4</v>
      </c>
      <c r="S41" s="152">
        <f>COUNTIFS(E41:N41,0)</f>
        <v>1</v>
      </c>
      <c r="T41" s="152">
        <f>COUNTIFS(E41:N41,1)</f>
        <v>1</v>
      </c>
      <c r="U41" s="152">
        <f>J11+L18+J21+J23+L29+J34+L36</f>
        <v>14</v>
      </c>
      <c r="V41" s="152">
        <f>L11+J18+L21+L23+J29+L34+J36</f>
        <v>2</v>
      </c>
      <c r="W41" s="152">
        <f>Q11+R18+Q21+Q23+R29+Q34+R36</f>
        <v>9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13</v>
      </c>
      <c r="V42" s="152">
        <f>J11+L15+J19+L25+L28+L33+J37</f>
        <v>2</v>
      </c>
      <c r="W42" s="152">
        <f>R11+Q15+R19+Q25+Q28+Q33+R37</f>
        <v>6</v>
      </c>
      <c r="X42" s="129">
        <f t="shared" si="1"/>
        <v>3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6</v>
      </c>
      <c r="R43" s="152">
        <f t="shared" si="2"/>
        <v>3</v>
      </c>
      <c r="S43" s="152">
        <f t="shared" si="3"/>
        <v>3</v>
      </c>
      <c r="T43" s="152">
        <f t="shared" si="4"/>
        <v>0</v>
      </c>
      <c r="U43" s="152">
        <f>J12+L15+J20+L23+J27+J32+L35</f>
        <v>9</v>
      </c>
      <c r="V43" s="152">
        <f>L12+J15+L20+J23+L27+L32+J35</f>
        <v>7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5</v>
      </c>
      <c r="R44" s="152">
        <f t="shared" si="2"/>
        <v>1</v>
      </c>
      <c r="S44" s="152">
        <f t="shared" si="3"/>
        <v>3</v>
      </c>
      <c r="T44" s="152">
        <f t="shared" si="4"/>
        <v>1</v>
      </c>
      <c r="U44" s="152">
        <f>L12+J16+J19+L24+J29+L31+L38</f>
        <v>4</v>
      </c>
      <c r="V44" s="152">
        <f>J12+L16+L19+J24+L29+J31+J38</f>
        <v>8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16</v>
      </c>
      <c r="W45" s="152">
        <f>Q13+R16+R20+Q26+R30+R34+Q37</f>
        <v>7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15</v>
      </c>
      <c r="Q46" s="152">
        <f t="shared" si="0"/>
        <v>6</v>
      </c>
      <c r="R46" s="152">
        <f t="shared" si="2"/>
        <v>5</v>
      </c>
      <c r="S46" s="152">
        <f t="shared" si="3"/>
        <v>1</v>
      </c>
      <c r="T46" s="152">
        <f t="shared" si="4"/>
        <v>0</v>
      </c>
      <c r="U46" s="152">
        <f>L13+J17+J22+J24+L27+L33+J36</f>
        <v>15</v>
      </c>
      <c r="V46" s="152">
        <f>J13+L17+L22+L24+J27+J33+L36</f>
        <v>2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5</v>
      </c>
      <c r="R47" s="152">
        <f t="shared" si="2"/>
        <v>0</v>
      </c>
      <c r="S47" s="152">
        <f t="shared" si="3"/>
        <v>4</v>
      </c>
      <c r="T47" s="152">
        <f t="shared" si="4"/>
        <v>1</v>
      </c>
      <c r="U47" s="152">
        <f>J14+L17+L21+L25+J30+L32+J38</f>
        <v>0</v>
      </c>
      <c r="V47" s="152">
        <f>L14+J17+J21+J25+L30+J32+L38</f>
        <v>18</v>
      </c>
      <c r="W47" s="152">
        <f>Q14+R17+R21+R25+Q30+R32+Q38</f>
        <v>6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C64AE-6CBD-49C1-9F0D-98B17FCDED13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>
        <v>0</v>
      </c>
      <c r="K23" s="124" t="s">
        <v>294</v>
      </c>
      <c r="L23" s="125">
        <v>3</v>
      </c>
      <c r="M23" s="126" t="str">
        <f>Scheids!$F$11</f>
        <v>Lars v Gassel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>
        <v>3</v>
      </c>
      <c r="K24" s="124" t="s">
        <v>294</v>
      </c>
      <c r="L24" s="125">
        <v>0</v>
      </c>
      <c r="M24" s="126" t="str">
        <f>Scheids!$F$11</f>
        <v>Lars v Gassel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>
        <v>3</v>
      </c>
      <c r="K25" s="124" t="s">
        <v>294</v>
      </c>
      <c r="L25" s="125">
        <v>0</v>
      </c>
      <c r="M25" s="126" t="str">
        <f>Scheids!$F$11</f>
        <v>Lars v Gassel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>
        <v>2</v>
      </c>
      <c r="K27" s="124" t="s">
        <v>294</v>
      </c>
      <c r="L27" s="125">
        <v>2</v>
      </c>
      <c r="M27" s="126" t="str">
        <f>Scheids!$D$11</f>
        <v>Leo Boer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>
        <v>2</v>
      </c>
      <c r="K29" s="124" t="s">
        <v>294</v>
      </c>
      <c r="L29" s="125">
        <v>0</v>
      </c>
      <c r="M29" s="126" t="str">
        <f>Scheids!$D$11</f>
        <v>Leo Boer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>
        <v>2</v>
      </c>
      <c r="K30" s="124" t="s">
        <v>294</v>
      </c>
      <c r="L30" s="125">
        <v>0</v>
      </c>
      <c r="M30" s="126" t="str">
        <f>Scheids!$D$11</f>
        <v>Leo Boer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>
        <v>3</v>
      </c>
      <c r="K32" s="124" t="s">
        <v>294</v>
      </c>
      <c r="L32" s="125">
        <v>0</v>
      </c>
      <c r="M32" s="126" t="str">
        <f>Scheids!$F$11</f>
        <v>Lars v Gassel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>
        <v>1</v>
      </c>
      <c r="K33" s="124" t="s">
        <v>294</v>
      </c>
      <c r="L33" s="125">
        <v>1</v>
      </c>
      <c r="M33" s="126" t="str">
        <f>Scheids!$F$11</f>
        <v>Lars v Gassel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>
        <v>0</v>
      </c>
      <c r="K34" s="124" t="s">
        <v>294</v>
      </c>
      <c r="L34" s="125">
        <v>0</v>
      </c>
      <c r="M34" s="126" t="str">
        <f>Scheids!$F$11</f>
        <v>Lars v Gassel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>
        <v>0</v>
      </c>
      <c r="K36" s="124" t="s">
        <v>294</v>
      </c>
      <c r="L36" s="125">
        <v>0</v>
      </c>
      <c r="M36" s="126" t="str">
        <f>Scheids!$D$11</f>
        <v>Leo Boer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3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3</v>
      </c>
      <c r="T41" s="152">
        <f>COUNTIFS(E41:N41,1)</f>
        <v>3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11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11</v>
      </c>
      <c r="Q42" s="152">
        <f t="shared" si="0"/>
        <v>5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2</v>
      </c>
      <c r="U42" s="152">
        <f>L11+J15+L19+J25+J28+J33+L37</f>
        <v>12</v>
      </c>
      <c r="V42" s="152">
        <f>J11+L15+J19+L25+L28+L33+J37</f>
        <v>4</v>
      </c>
      <c r="W42" s="152">
        <f>R11+Q15+R19+Q25+Q28+Q33+R37</f>
        <v>9</v>
      </c>
      <c r="X42" s="129">
        <f t="shared" si="1"/>
        <v>2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3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12</v>
      </c>
      <c r="Q43" s="152">
        <f t="shared" si="0"/>
        <v>6</v>
      </c>
      <c r="R43" s="152">
        <f t="shared" si="2"/>
        <v>3</v>
      </c>
      <c r="S43" s="152">
        <f t="shared" si="3"/>
        <v>0</v>
      </c>
      <c r="T43" s="152">
        <f t="shared" si="4"/>
        <v>3</v>
      </c>
      <c r="U43" s="152">
        <f>J12+L15+J20+L23+J27+J32+L35</f>
        <v>12</v>
      </c>
      <c r="V43" s="152">
        <f>L12+J15+L20+J23+L27+L32+J35</f>
        <v>4</v>
      </c>
      <c r="W43" s="152">
        <f>Q12+R15+Q20+R23+Q27+Q32+R35</f>
        <v>7</v>
      </c>
      <c r="X43" s="129">
        <f t="shared" si="1"/>
        <v>1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6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5</v>
      </c>
      <c r="R45" s="152">
        <f t="shared" si="2"/>
        <v>0</v>
      </c>
      <c r="S45" s="152">
        <f t="shared" si="3"/>
        <v>4</v>
      </c>
      <c r="T45" s="152">
        <f t="shared" si="4"/>
        <v>1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8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10</v>
      </c>
      <c r="Q46" s="152">
        <f t="shared" si="0"/>
        <v>6</v>
      </c>
      <c r="R46" s="152">
        <f t="shared" si="2"/>
        <v>2</v>
      </c>
      <c r="S46" s="152">
        <f t="shared" si="3"/>
        <v>0</v>
      </c>
      <c r="T46" s="152">
        <f t="shared" si="4"/>
        <v>4</v>
      </c>
      <c r="U46" s="152">
        <f>L13+J17+J22+J24+L27+L33+J36</f>
        <v>7</v>
      </c>
      <c r="V46" s="152">
        <f>J13+L17+L22+L24+J27+J33+L36</f>
        <v>3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5</v>
      </c>
      <c r="Q47" s="152">
        <f t="shared" si="0"/>
        <v>5</v>
      </c>
      <c r="R47" s="152">
        <f t="shared" si="2"/>
        <v>1</v>
      </c>
      <c r="S47" s="152">
        <f t="shared" si="3"/>
        <v>2</v>
      </c>
      <c r="T47" s="152">
        <f t="shared" si="4"/>
        <v>2</v>
      </c>
      <c r="U47" s="152">
        <f>J14+L17+L21+L25+J30+L32+J38</f>
        <v>2</v>
      </c>
      <c r="V47" s="152">
        <f>L14+J17+J21+J25+L30+J32+L38</f>
        <v>6</v>
      </c>
      <c r="W47" s="152">
        <f>Q14+R17+R21+R25+Q30+R32+Q38</f>
        <v>10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B2294-5729-4232-9D9E-542C8A3D197C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>
        <v>0</v>
      </c>
      <c r="K23" s="124" t="s">
        <v>294</v>
      </c>
      <c r="L23" s="125">
        <v>1</v>
      </c>
      <c r="M23" s="126" t="str">
        <f>Scheids!$D$12</f>
        <v>Theo Dessens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>
        <v>2</v>
      </c>
      <c r="K24" s="124" t="s">
        <v>294</v>
      </c>
      <c r="L24" s="125">
        <v>0</v>
      </c>
      <c r="M24" s="126" t="str">
        <f>Scheids!$D$12</f>
        <v>Theo Dessens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>
        <v>0</v>
      </c>
      <c r="K25" s="124" t="s">
        <v>294</v>
      </c>
      <c r="L25" s="125">
        <v>1</v>
      </c>
      <c r="M25" s="126" t="str">
        <f>Scheids!$D$12</f>
        <v>Theo Dessens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>
        <v>1</v>
      </c>
      <c r="K26" s="124" t="s">
        <v>294</v>
      </c>
      <c r="L26" s="125">
        <v>4</v>
      </c>
      <c r="M26" s="126" t="str">
        <f>Scheids!$F$12</f>
        <v>Ton Haanappel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>
        <v>2</v>
      </c>
      <c r="K27" s="124" t="s">
        <v>294</v>
      </c>
      <c r="L27" s="125">
        <v>4</v>
      </c>
      <c r="M27" s="126" t="str">
        <f>Scheids!$F$12</f>
        <v>Ton Haanappel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>
        <v>0</v>
      </c>
      <c r="K28" s="124" t="s">
        <v>294</v>
      </c>
      <c r="L28" s="125">
        <v>2</v>
      </c>
      <c r="M28" s="126" t="str">
        <f>Scheids!$F$12</f>
        <v>Ton Haanappel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>
        <v>0</v>
      </c>
      <c r="K29" s="124" t="s">
        <v>294</v>
      </c>
      <c r="L29" s="125">
        <v>0</v>
      </c>
      <c r="M29" s="126" t="str">
        <f>Scheids!$D$12</f>
        <v>Theo Dessens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>
        <v>5</v>
      </c>
      <c r="K30" s="124" t="s">
        <v>294</v>
      </c>
      <c r="L30" s="125">
        <v>1</v>
      </c>
      <c r="M30" s="126" t="str">
        <f>Scheids!$D$12</f>
        <v>Theo Dessens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>
        <v>3</v>
      </c>
      <c r="K31" s="124" t="s">
        <v>294</v>
      </c>
      <c r="L31" s="125">
        <v>0</v>
      </c>
      <c r="M31" s="126" t="str">
        <f>Scheids!$D$12</f>
        <v>Theo Dessens</v>
      </c>
      <c r="N31" s="127"/>
      <c r="O31" s="128"/>
      <c r="Q31" s="129">
        <v>1</v>
      </c>
      <c r="R31" s="129">
        <v>1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>
        <v>0</v>
      </c>
      <c r="K32" s="124" t="s">
        <v>294</v>
      </c>
      <c r="L32" s="125">
        <v>1</v>
      </c>
      <c r="M32" s="126" t="str">
        <f>Scheids!$F$12</f>
        <v>Ton Haanappel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>
        <v>0</v>
      </c>
      <c r="K33" s="124" t="s">
        <v>294</v>
      </c>
      <c r="L33" s="125">
        <v>1</v>
      </c>
      <c r="M33" s="126" t="str">
        <f>Scheids!$F$12</f>
        <v>Ton Haanappel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>
        <v>1</v>
      </c>
      <c r="K34" s="124" t="s">
        <v>294</v>
      </c>
      <c r="L34" s="125">
        <v>2</v>
      </c>
      <c r="M34" s="126" t="str">
        <f>Scheids!$F$12</f>
        <v>Ton Haanappel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>
        <v>1</v>
      </c>
      <c r="K35" s="124" t="s">
        <v>294</v>
      </c>
      <c r="L35" s="125">
        <v>2</v>
      </c>
      <c r="M35" s="126" t="str">
        <f>Scheids!$D$12</f>
        <v>Theo Dessens</v>
      </c>
      <c r="N35" s="127"/>
      <c r="O35" s="128"/>
      <c r="Q35" s="129">
        <v>1</v>
      </c>
      <c r="R35" s="129">
        <v>1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>
        <v>4</v>
      </c>
      <c r="K36" s="124" t="s">
        <v>294</v>
      </c>
      <c r="L36" s="125">
        <v>0</v>
      </c>
      <c r="M36" s="126" t="str">
        <f>Scheids!$D$12</f>
        <v>Theo Dessens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2</v>
      </c>
      <c r="Q41" s="152">
        <f t="shared" ref="Q41:Q48" si="0">COUNT(E41:N41)</f>
        <v>7</v>
      </c>
      <c r="R41" s="152">
        <f>COUNTIFS(E41:N41,3)</f>
        <v>0</v>
      </c>
      <c r="S41" s="152">
        <f>COUNTIFS(E41:N41,0)</f>
        <v>5</v>
      </c>
      <c r="T41" s="152">
        <f>COUNTIFS(E41:N41,1)</f>
        <v>2</v>
      </c>
      <c r="U41" s="152">
        <f>J11+L18+J21+J23+L29+J34+L36</f>
        <v>1</v>
      </c>
      <c r="V41" s="152">
        <f>L11+J18+L21+L23+J29+L34+J36</f>
        <v>13</v>
      </c>
      <c r="W41" s="152">
        <f>Q11+R18+Q21+Q23+R29+Q34+R36</f>
        <v>9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2">COUNTIFS(E42:N42,3)</f>
        <v>2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7</v>
      </c>
      <c r="W42" s="152">
        <f>R11+Q15+R19+Q25+Q28+Q33+R37</f>
        <v>9</v>
      </c>
      <c r="X42" s="129">
        <f t="shared" si="1"/>
        <v>5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70">
        <f>IF(AND($J$35&lt;&gt;"",$L$35&lt;&gt;""),IF($J$35&lt;$L$35,3,IF($J$35=$L$35,1,0)),"")</f>
        <v>3</v>
      </c>
      <c r="O43" s="157" cm="1">
        <f t="array" ref="O43">IF(SUMPRODUCT(--(E43:N43&lt;&gt;""))&lt;&gt;0,SUM(E43:N43),"")</f>
        <v>15</v>
      </c>
      <c r="Q43" s="152">
        <f t="shared" si="0"/>
        <v>7</v>
      </c>
      <c r="R43" s="152">
        <f t="shared" si="2"/>
        <v>5</v>
      </c>
      <c r="S43" s="152">
        <f t="shared" si="3"/>
        <v>2</v>
      </c>
      <c r="T43" s="152">
        <f t="shared" si="4"/>
        <v>0</v>
      </c>
      <c r="U43" s="152">
        <f>J12+L15+J20+L23+J27+J32+L35</f>
        <v>11</v>
      </c>
      <c r="V43" s="152">
        <f>L12+J15+L20+J23+L27+L32+J35</f>
        <v>6</v>
      </c>
      <c r="W43" s="152">
        <f>Q12+R15+Q20+R23+Q27+Q32+R35</f>
        <v>11</v>
      </c>
      <c r="X43" s="129">
        <f t="shared" si="1"/>
        <v>2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6</v>
      </c>
      <c r="R44" s="152">
        <f t="shared" si="2"/>
        <v>1</v>
      </c>
      <c r="S44" s="152">
        <f t="shared" si="3"/>
        <v>4</v>
      </c>
      <c r="T44" s="152">
        <f t="shared" si="4"/>
        <v>1</v>
      </c>
      <c r="U44" s="152">
        <f>L12+J16+J19+L24+J29+L31+L38</f>
        <v>1</v>
      </c>
      <c r="V44" s="152">
        <f>J12+L16+L19+J24+L29+J31+J38</f>
        <v>7</v>
      </c>
      <c r="W44" s="152">
        <f>R12+Q16+Q19+R24+Q29+R31+R38</f>
        <v>7</v>
      </c>
      <c r="X44" s="129">
        <f t="shared" si="1"/>
        <v>6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3</v>
      </c>
      <c r="Q45" s="152">
        <f t="shared" si="0"/>
        <v>6</v>
      </c>
      <c r="R45" s="152">
        <f t="shared" si="2"/>
        <v>1</v>
      </c>
      <c r="S45" s="152">
        <f t="shared" si="3"/>
        <v>5</v>
      </c>
      <c r="T45" s="152">
        <f t="shared" si="4"/>
        <v>0</v>
      </c>
      <c r="U45" s="152">
        <f>J13+L16+L20+J26+L30+L34+J37</f>
        <v>4</v>
      </c>
      <c r="V45" s="152">
        <f>L13+J16+J20+L26+J30+J34+L37</f>
        <v>17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21</v>
      </c>
      <c r="Q46" s="152">
        <f t="shared" si="0"/>
        <v>7</v>
      </c>
      <c r="R46" s="152">
        <f t="shared" si="2"/>
        <v>7</v>
      </c>
      <c r="S46" s="152">
        <f t="shared" si="3"/>
        <v>0</v>
      </c>
      <c r="T46" s="152">
        <f t="shared" si="4"/>
        <v>0</v>
      </c>
      <c r="U46" s="152">
        <f>L13+J17+J22+J24+L27+L33+J36</f>
        <v>20</v>
      </c>
      <c r="V46" s="152">
        <f>J13+L17+L22+L24+J27+J33+L36</f>
        <v>2</v>
      </c>
      <c r="W46" s="152">
        <f>R13+Q17+Q22+Q24+R27+R33+Q36</f>
        <v>10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9</v>
      </c>
      <c r="X47" s="129">
        <f t="shared" si="1"/>
        <v>3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12</v>
      </c>
      <c r="Q48" s="152">
        <f t="shared" si="0"/>
        <v>7</v>
      </c>
      <c r="R48" s="152">
        <f t="shared" si="2"/>
        <v>4</v>
      </c>
      <c r="S48" s="152">
        <f t="shared" si="3"/>
        <v>3</v>
      </c>
      <c r="T48" s="152">
        <f t="shared" si="4"/>
        <v>0</v>
      </c>
      <c r="U48" s="152">
        <f>L14+J18+L22+L26+L28+J31+J35</f>
        <v>14</v>
      </c>
      <c r="V48" s="152">
        <f>J14+L18+J22+J26+J28+L31+L35</f>
        <v>9</v>
      </c>
      <c r="W48" s="152">
        <f>+R14+Q18+R22+R26+R28+Q31+Q35</f>
        <v>11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FA045-28C8-4F45-AC93-E9C01D67FB26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>
        <v>0</v>
      </c>
      <c r="K23" s="124" t="s">
        <v>294</v>
      </c>
      <c r="L23" s="125">
        <v>6</v>
      </c>
      <c r="M23" s="126" t="str">
        <f>Scheids!$D$13</f>
        <v>Ruud Bakas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>
        <v>3</v>
      </c>
      <c r="K24" s="124" t="s">
        <v>294</v>
      </c>
      <c r="L24" s="125">
        <v>0</v>
      </c>
      <c r="M24" s="126" t="str">
        <f>Scheids!$D$13</f>
        <v>Ruud Bakas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>
        <v>0</v>
      </c>
      <c r="K25" s="124" t="s">
        <v>294</v>
      </c>
      <c r="L25" s="125">
        <v>2</v>
      </c>
      <c r="M25" s="126" t="str">
        <f>Scheids!$D$13</f>
        <v>Ruud Bakas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>
        <v>0</v>
      </c>
      <c r="K26" s="124" t="s">
        <v>294</v>
      </c>
      <c r="L26" s="125">
        <v>1</v>
      </c>
      <c r="M26" s="126" t="str">
        <f>Scheids!$F$13</f>
        <v>Gennaro vd Kan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>
        <v>3</v>
      </c>
      <c r="K27" s="124" t="s">
        <v>294</v>
      </c>
      <c r="L27" s="125">
        <v>0</v>
      </c>
      <c r="M27" s="126" t="str">
        <f>Scheids!$F$13</f>
        <v>Gennaro vd Kan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>
        <v>0</v>
      </c>
      <c r="K28" s="124" t="s">
        <v>294</v>
      </c>
      <c r="L28" s="125">
        <v>3</v>
      </c>
      <c r="M28" s="126" t="str">
        <f>Scheids!$F$13</f>
        <v>Gennaro vd Kan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>
        <v>1</v>
      </c>
      <c r="K29" s="124" t="s">
        <v>294</v>
      </c>
      <c r="L29" s="125">
        <v>1</v>
      </c>
      <c r="M29" s="126" t="str">
        <f>Scheids!$D$13</f>
        <v>Ruud Bakas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>
        <v>1</v>
      </c>
      <c r="K30" s="124" t="s">
        <v>294</v>
      </c>
      <c r="L30" s="125">
        <v>4</v>
      </c>
      <c r="M30" s="126" t="str">
        <f>Scheids!$D$13</f>
        <v>Ruud Bakas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>
        <v>3</v>
      </c>
      <c r="K31" s="124" t="s">
        <v>294</v>
      </c>
      <c r="L31" s="125">
        <v>0</v>
      </c>
      <c r="M31" s="126" t="str">
        <f>Scheids!$D$13</f>
        <v>Ruud Bakas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>
        <v>3</v>
      </c>
      <c r="K32" s="124" t="s">
        <v>294</v>
      </c>
      <c r="L32" s="125">
        <v>0</v>
      </c>
      <c r="M32" s="126" t="str">
        <f>Scheids!$F$13</f>
        <v>Gennaro vd Kan</v>
      </c>
      <c r="N32" s="127"/>
      <c r="O32" s="128"/>
      <c r="Q32" s="129">
        <v>1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>
        <v>0</v>
      </c>
      <c r="K33" s="124" t="s">
        <v>294</v>
      </c>
      <c r="L33" s="125">
        <v>5</v>
      </c>
      <c r="M33" s="126" t="str">
        <f>Scheids!$F$13</f>
        <v>Gennaro vd Kan</v>
      </c>
      <c r="N33" s="127"/>
      <c r="O33" s="128"/>
      <c r="Q33" s="129">
        <v>2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>
        <v>0</v>
      </c>
      <c r="K34" s="124" t="s">
        <v>294</v>
      </c>
      <c r="L34" s="125">
        <v>6</v>
      </c>
      <c r="M34" s="126" t="str">
        <f>Scheids!$F$13</f>
        <v>Gennaro vd Kan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>
        <v>1</v>
      </c>
      <c r="K35" s="124" t="s">
        <v>294</v>
      </c>
      <c r="L35" s="125">
        <v>1</v>
      </c>
      <c r="M35" s="126" t="str">
        <f>Scheids!$D$13</f>
        <v>Ruud Bakas</v>
      </c>
      <c r="N35" s="127"/>
      <c r="O35" s="128"/>
      <c r="Q35" s="129">
        <v>2</v>
      </c>
      <c r="R35" s="129">
        <v>0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>
        <v>1</v>
      </c>
      <c r="K36" s="124" t="s">
        <v>294</v>
      </c>
      <c r="L36" s="125">
        <v>0</v>
      </c>
      <c r="M36" s="126" t="str">
        <f>Scheids!$D$13</f>
        <v>Ruud Bakas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7</v>
      </c>
      <c r="Q41" s="152">
        <f t="shared" ref="Q41:Q48" si="0">COUNT(E41:N41)</f>
        <v>7</v>
      </c>
      <c r="R41" s="152">
        <f>COUNTIFS(E41:N41,3)</f>
        <v>2</v>
      </c>
      <c r="S41" s="152">
        <f>COUNTIFS(E41:N41,0)</f>
        <v>4</v>
      </c>
      <c r="T41" s="152">
        <f>COUNTIFS(E41:N41,1)</f>
        <v>1</v>
      </c>
      <c r="U41" s="152">
        <f>J11+L18+J21+J23+L29+J34+L36</f>
        <v>4</v>
      </c>
      <c r="V41" s="152">
        <f>L11+J18+L21+L23+J29+L34+J36</f>
        <v>17</v>
      </c>
      <c r="W41" s="152">
        <f>Q11+R18+Q21+Q23+R29+Q34+R36</f>
        <v>12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71"/>
      <c r="K42" s="172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5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15</v>
      </c>
      <c r="W42" s="152">
        <f>R11+Q15+R19+Q25+Q28+Q33+R37</f>
        <v>11</v>
      </c>
      <c r="X42" s="129">
        <f t="shared" si="1"/>
        <v>7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3</v>
      </c>
      <c r="N43" s="170">
        <f>IF(AND($J$35&lt;&gt;"",$L$35&lt;&gt;""),IF($J$35&lt;$L$35,3,IF($J$35=$L$35,1,0)),"")</f>
        <v>1</v>
      </c>
      <c r="O43" s="157" cm="1">
        <f t="array" ref="O43">IF(SUMPRODUCT(--(E43:N43&lt;&gt;""))&lt;&gt;0,SUM(E43:N43),"")</f>
        <v>16</v>
      </c>
      <c r="Q43" s="152">
        <f t="shared" si="0"/>
        <v>7</v>
      </c>
      <c r="R43" s="152">
        <f t="shared" si="2"/>
        <v>5</v>
      </c>
      <c r="S43" s="152">
        <f t="shared" si="3"/>
        <v>1</v>
      </c>
      <c r="T43" s="152">
        <f t="shared" si="4"/>
        <v>1</v>
      </c>
      <c r="U43" s="152">
        <f>J12+L15+J20+L23+J27+J32+L35</f>
        <v>20</v>
      </c>
      <c r="V43" s="152">
        <f>L12+J15+L20+J23+L27+L32+J35</f>
        <v>3</v>
      </c>
      <c r="W43" s="152">
        <f>Q12+R15+Q20+R23+Q27+Q32+R35</f>
        <v>8</v>
      </c>
      <c r="X43" s="129">
        <f t="shared" si="1"/>
        <v>2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71"/>
      <c r="M44" s="172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2</v>
      </c>
      <c r="Q44" s="152">
        <f t="shared" si="0"/>
        <v>6</v>
      </c>
      <c r="R44" s="152">
        <f t="shared" si="2"/>
        <v>0</v>
      </c>
      <c r="S44" s="152">
        <f t="shared" si="3"/>
        <v>4</v>
      </c>
      <c r="T44" s="152">
        <f t="shared" si="4"/>
        <v>2</v>
      </c>
      <c r="U44" s="152">
        <f>L12+J16+J19+L24+J29+L31+L38</f>
        <v>1</v>
      </c>
      <c r="V44" s="152">
        <f>J12+L16+L19+J24+L29+J31+J38</f>
        <v>11</v>
      </c>
      <c r="W44" s="152">
        <f>R12+Q16+Q19+R24+Q29+R31+R38</f>
        <v>11</v>
      </c>
      <c r="X44" s="129">
        <f t="shared" si="1"/>
        <v>8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13</v>
      </c>
      <c r="Q45" s="152">
        <f t="shared" si="0"/>
        <v>6</v>
      </c>
      <c r="R45" s="152">
        <f t="shared" si="2"/>
        <v>4</v>
      </c>
      <c r="S45" s="152">
        <f t="shared" si="3"/>
        <v>1</v>
      </c>
      <c r="T45" s="152">
        <f t="shared" si="4"/>
        <v>1</v>
      </c>
      <c r="U45" s="152">
        <f>J13+L16+L20+J26+L30+L34+J37</f>
        <v>15</v>
      </c>
      <c r="V45" s="152">
        <f>L13+J16+J20+L26+J30+J34+L37</f>
        <v>2</v>
      </c>
      <c r="W45" s="152">
        <f>Q13+R16+R20+Q26+R30+R34+Q37</f>
        <v>11</v>
      </c>
      <c r="X45" s="129">
        <f t="shared" si="1"/>
        <v>3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3</v>
      </c>
      <c r="S46" s="152">
        <f t="shared" si="3"/>
        <v>3</v>
      </c>
      <c r="T46" s="152">
        <f t="shared" si="4"/>
        <v>1</v>
      </c>
      <c r="U46" s="152">
        <f>L13+J17+J22+J24+L27+L33+J36</f>
        <v>10</v>
      </c>
      <c r="V46" s="152">
        <f>J13+L17+L22+L24+J27+J33+L36</f>
        <v>8</v>
      </c>
      <c r="W46" s="152">
        <f>R13+Q17+Q22+Q24+R27+R33+Q36</f>
        <v>11</v>
      </c>
      <c r="X46" s="129">
        <f t="shared" si="1"/>
        <v>4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0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4</v>
      </c>
      <c r="V47" s="152">
        <f>L14+J17+J21+J25+L30+J32+L38</f>
        <v>12</v>
      </c>
      <c r="W47" s="152">
        <f>Q14+R17+R21+R25+Q30+R32+Q38</f>
        <v>10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1</v>
      </c>
      <c r="O48" s="157" cm="1">
        <f t="array" ref="O48">IF(SUMPRODUCT(--(E48:N48&lt;&gt;""))&lt;&gt;0,SUM(E48:N48),"")</f>
        <v>19</v>
      </c>
      <c r="Q48" s="152">
        <f t="shared" si="0"/>
        <v>7</v>
      </c>
      <c r="R48" s="152">
        <f t="shared" si="2"/>
        <v>6</v>
      </c>
      <c r="S48" s="152">
        <f t="shared" si="3"/>
        <v>0</v>
      </c>
      <c r="T48" s="152">
        <f t="shared" si="4"/>
        <v>1</v>
      </c>
      <c r="U48" s="152">
        <f>L14+J18+L22+L26+L28+J31+J35</f>
        <v>16</v>
      </c>
      <c r="V48" s="152">
        <f>J14+L18+J22+J26+J28+L31+L35</f>
        <v>3</v>
      </c>
      <c r="W48" s="152">
        <f>+R14+Q18+R22+R26+R28+Q31+Q35</f>
        <v>13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2C21A-C072-40B9-A08E-1DA033F3F182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0</v>
      </c>
      <c r="K21" s="124" t="s">
        <v>294</v>
      </c>
      <c r="L21" s="125">
        <v>1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>
        <v>2</v>
      </c>
      <c r="K23" s="124" t="s">
        <v>294</v>
      </c>
      <c r="L23" s="125">
        <v>1</v>
      </c>
      <c r="M23" s="126" t="str">
        <f>Scheids!$D$14</f>
        <v>Rob Staakman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>
        <v>0</v>
      </c>
      <c r="K24" s="124" t="s">
        <v>294</v>
      </c>
      <c r="L24" s="125">
        <v>1</v>
      </c>
      <c r="M24" s="126" t="str">
        <f>Scheids!$D$14</f>
        <v>Rob Staakman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>
        <v>0</v>
      </c>
      <c r="K25" s="124" t="s">
        <v>294</v>
      </c>
      <c r="L25" s="125">
        <v>3</v>
      </c>
      <c r="M25" s="126" t="str">
        <f>Scheids!$D$14</f>
        <v>Rob Staakman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>
        <v>0</v>
      </c>
      <c r="K26" s="124" t="s">
        <v>294</v>
      </c>
      <c r="L26" s="125">
        <v>4</v>
      </c>
      <c r="M26" s="126" t="str">
        <f>Scheids!$F$14</f>
        <v>Jack Altena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>
        <v>0</v>
      </c>
      <c r="K27" s="124" t="s">
        <v>294</v>
      </c>
      <c r="L27" s="125">
        <v>1</v>
      </c>
      <c r="M27" s="126" t="str">
        <f>Scheids!$F$14</f>
        <v>Jack Altena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>
        <v>0</v>
      </c>
      <c r="K28" s="124" t="s">
        <v>294</v>
      </c>
      <c r="L28" s="125">
        <v>3</v>
      </c>
      <c r="M28" s="126" t="str">
        <f>Scheids!$F$14</f>
        <v>Jack Altena</v>
      </c>
      <c r="N28" s="127"/>
      <c r="O28" s="128"/>
      <c r="Q28" s="129">
        <v>1</v>
      </c>
      <c r="R28" s="129">
        <v>1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>
        <v>0</v>
      </c>
      <c r="K29" s="124" t="s">
        <v>294</v>
      </c>
      <c r="L29" s="125">
        <v>0</v>
      </c>
      <c r="M29" s="126" t="str">
        <f>Scheids!$D$14</f>
        <v>Rob Staakman</v>
      </c>
      <c r="N29" s="127"/>
      <c r="O29" s="128"/>
      <c r="Q29" s="129">
        <v>2</v>
      </c>
      <c r="R29" s="129">
        <v>0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>
        <v>1</v>
      </c>
      <c r="K30" s="124" t="s">
        <v>294</v>
      </c>
      <c r="L30" s="125">
        <v>0</v>
      </c>
      <c r="M30" s="126" t="str">
        <f>Scheids!$D$14</f>
        <v>Rob Staakman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>
        <v>3</v>
      </c>
      <c r="K31" s="124" t="s">
        <v>294</v>
      </c>
      <c r="L31" s="125">
        <v>0</v>
      </c>
      <c r="M31" s="126" t="str">
        <f>Scheids!$D$14</f>
        <v>Rob Staakman</v>
      </c>
      <c r="N31" s="127"/>
      <c r="O31" s="128"/>
      <c r="Q31" s="129">
        <v>2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>
        <v>0</v>
      </c>
      <c r="K32" s="124" t="s">
        <v>294</v>
      </c>
      <c r="L32" s="125">
        <v>2</v>
      </c>
      <c r="M32" s="126" t="str">
        <f>Scheids!$F$14</f>
        <v>Jack Altena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>
        <v>0</v>
      </c>
      <c r="K33" s="124" t="s">
        <v>294</v>
      </c>
      <c r="L33" s="125">
        <v>3</v>
      </c>
      <c r="M33" s="126" t="str">
        <f>Scheids!$F$14</f>
        <v>Jack Altena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>
        <v>1</v>
      </c>
      <c r="K34" s="124" t="s">
        <v>294</v>
      </c>
      <c r="L34" s="125">
        <v>1</v>
      </c>
      <c r="M34" s="126" t="str">
        <f>Scheids!$F$14</f>
        <v>Jack Altena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>
        <v>1</v>
      </c>
      <c r="K35" s="124" t="s">
        <v>294</v>
      </c>
      <c r="L35" s="125">
        <v>1</v>
      </c>
      <c r="M35" s="126" t="str">
        <f>Scheids!$D$14</f>
        <v>Rob Staakman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>
        <v>1</v>
      </c>
      <c r="K36" s="124" t="s">
        <v>294</v>
      </c>
      <c r="L36" s="125">
        <v>0</v>
      </c>
      <c r="M36" s="126" t="str">
        <f>Scheids!$D$14</f>
        <v>Rob Staakman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8</v>
      </c>
      <c r="Q41" s="152">
        <f t="shared" ref="Q41:Q48" si="0">COUNT(E41:N41)</f>
        <v>7</v>
      </c>
      <c r="R41" s="152">
        <f>COUNTIFS(E41:N41,3)</f>
        <v>2</v>
      </c>
      <c r="S41" s="152">
        <f>COUNTIFS(E41:N41,0)</f>
        <v>3</v>
      </c>
      <c r="T41" s="152">
        <f>COUNTIFS(E41:N41,1)</f>
        <v>2</v>
      </c>
      <c r="U41" s="152">
        <f>J11+L18+J21+J23+L29+J34+L36</f>
        <v>6</v>
      </c>
      <c r="V41" s="152">
        <f>L11+J18+L21+L23+J29+L34+J36</f>
        <v>8</v>
      </c>
      <c r="W41" s="152">
        <f>Q11+R18+Q21+Q23+R29+Q34+R36</f>
        <v>11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0</v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6</v>
      </c>
      <c r="R42" s="152">
        <f t="shared" ref="R42:R48" si="2">COUNTIFS(E42:N42,3)</f>
        <v>0</v>
      </c>
      <c r="S42" s="152">
        <f t="shared" ref="S42:S48" si="3">COUNTIFS(E42:N42,0)</f>
        <v>6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18</v>
      </c>
      <c r="W42" s="152">
        <f>R11+Q15+R19+Q25+Q28+Q33+R37</f>
        <v>6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1</v>
      </c>
      <c r="O43" s="157" cm="1">
        <f t="array" ref="O43">IF(SUMPRODUCT(--(E43:N43&lt;&gt;""))&lt;&gt;0,SUM(E43:N43),"")</f>
        <v>5</v>
      </c>
      <c r="Q43" s="152">
        <f t="shared" si="0"/>
        <v>7</v>
      </c>
      <c r="R43" s="152">
        <f t="shared" si="2"/>
        <v>1</v>
      </c>
      <c r="S43" s="152">
        <f t="shared" si="3"/>
        <v>4</v>
      </c>
      <c r="T43" s="152">
        <f t="shared" si="4"/>
        <v>2</v>
      </c>
      <c r="U43" s="152">
        <f>J12+L15+J20+L23+J27+J32+L35</f>
        <v>5</v>
      </c>
      <c r="V43" s="152">
        <f>L12+J15+L20+J23+L27+L32+J35</f>
        <v>7</v>
      </c>
      <c r="W43" s="152">
        <f>Q12+R15+Q20+R23+Q27+Q32+R35</f>
        <v>11</v>
      </c>
      <c r="X43" s="129">
        <f t="shared" si="1"/>
        <v>6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0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13</v>
      </c>
      <c r="Q44" s="152">
        <f t="shared" si="0"/>
        <v>6</v>
      </c>
      <c r="R44" s="152">
        <f t="shared" si="2"/>
        <v>4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3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0</v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8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12</v>
      </c>
      <c r="Q46" s="152">
        <f t="shared" si="0"/>
        <v>7</v>
      </c>
      <c r="R46" s="152">
        <f t="shared" si="2"/>
        <v>4</v>
      </c>
      <c r="S46" s="152">
        <f t="shared" si="3"/>
        <v>3</v>
      </c>
      <c r="T46" s="152">
        <f t="shared" si="4"/>
        <v>0</v>
      </c>
      <c r="U46" s="152">
        <f>L13+J17+J22+J24+L27+L33+J36</f>
        <v>6</v>
      </c>
      <c r="V46" s="152">
        <f>J13+L17+L22+L24+J27+J33+L36</f>
        <v>3</v>
      </c>
      <c r="W46" s="152">
        <f>R13+Q17+Q22+Q24+R27+R33+Q36</f>
        <v>12</v>
      </c>
      <c r="X46" s="129">
        <f t="shared" si="1"/>
        <v>4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6</v>
      </c>
      <c r="R47" s="152">
        <f t="shared" si="2"/>
        <v>5</v>
      </c>
      <c r="S47" s="152">
        <f t="shared" si="3"/>
        <v>1</v>
      </c>
      <c r="T47" s="152">
        <f t="shared" si="4"/>
        <v>0</v>
      </c>
      <c r="U47" s="152">
        <f>J14+L17+L21+L25+J30+L32+J38</f>
        <v>8</v>
      </c>
      <c r="V47" s="152">
        <f>L14+J17+J21+J25+L30+J32+L38</f>
        <v>2</v>
      </c>
      <c r="W47" s="152">
        <f>Q14+R17+R21+R25+Q30+R32+Q38</f>
        <v>11</v>
      </c>
      <c r="X47" s="129">
        <f t="shared" si="1"/>
        <v>2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>
        <f>IF(AND($J$26&lt;&gt;"",$L$26&lt;&gt;""),IF($J$26&lt;$L$26,3,IF($J$26=$L$26,1,0)),"")</f>
        <v>3</v>
      </c>
      <c r="J48" s="141"/>
      <c r="K48" s="143">
        <f>IF(AND($J$28&lt;&gt;"",$L$28&lt;&gt;""),IF($J$28&lt;$L$28,3,IF($J$28=$L$28,1,0)),"")</f>
        <v>3</v>
      </c>
      <c r="L48" s="141"/>
      <c r="M48" s="142">
        <f>IF(AND($J$31&lt;&gt;"",$L$31&lt;&gt;""),IF($J$31&gt;$L$31,3,IF($J$31=$L$31,1,0)),"")</f>
        <v>3</v>
      </c>
      <c r="N48" s="165">
        <f>IF(AND($J$35&lt;&gt;"",$L$35&lt;&gt;""),IF($J$35&gt;$L$35,3,IF($J$35=$L$35,1,0)),"")</f>
        <v>1</v>
      </c>
      <c r="O48" s="157" cm="1">
        <f t="array" ref="O48">IF(SUMPRODUCT(--(E48:N48&lt;&gt;""))&lt;&gt;0,SUM(E48:N48),"")</f>
        <v>19</v>
      </c>
      <c r="Q48" s="152">
        <f t="shared" si="0"/>
        <v>7</v>
      </c>
      <c r="R48" s="152">
        <f t="shared" si="2"/>
        <v>6</v>
      </c>
      <c r="S48" s="152">
        <f t="shared" si="3"/>
        <v>0</v>
      </c>
      <c r="T48" s="152">
        <f t="shared" si="4"/>
        <v>1</v>
      </c>
      <c r="U48" s="152">
        <f>L14+J18+L22+L26+L28+J31+J35</f>
        <v>18</v>
      </c>
      <c r="V48" s="152">
        <f>J14+L18+J22+J26+J28+L31+L35</f>
        <v>1</v>
      </c>
      <c r="W48" s="152">
        <f>+R14+Q18+R22+R26+R28+Q31+Q35</f>
        <v>13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E3D7-0D08-418D-AE44-0138D018B5F9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>
        <v>2</v>
      </c>
      <c r="K23" s="124" t="s">
        <v>294</v>
      </c>
      <c r="L23" s="125">
        <v>0</v>
      </c>
      <c r="M23" s="126" t="str">
        <f>Scheids!$D$15</f>
        <v>Rien Beenen</v>
      </c>
      <c r="N23" s="127"/>
      <c r="O23" s="128"/>
      <c r="Q23" s="129">
        <v>2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>
        <v>2</v>
      </c>
      <c r="K24" s="124" t="s">
        <v>294</v>
      </c>
      <c r="L24" s="125">
        <v>0</v>
      </c>
      <c r="M24" s="126" t="str">
        <f>Scheids!$D$15</f>
        <v>Rien Beenen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>
        <v>0</v>
      </c>
      <c r="K25" s="124" t="s">
        <v>294</v>
      </c>
      <c r="L25" s="125">
        <v>1</v>
      </c>
      <c r="M25" s="126" t="str">
        <f>Scheids!$D$15</f>
        <v>Rien Beenen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>
        <v>1</v>
      </c>
      <c r="K26" s="124" t="s">
        <v>294</v>
      </c>
      <c r="L26" s="125">
        <v>0</v>
      </c>
      <c r="M26" s="126" t="str">
        <f>Scheids!$F$15</f>
        <v>Anita Schouten</v>
      </c>
      <c r="N26" s="127"/>
      <c r="O26" s="128"/>
      <c r="Q26" s="129">
        <v>2</v>
      </c>
      <c r="R26" s="129">
        <v>2</v>
      </c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>
        <v>1</v>
      </c>
      <c r="K27" s="124" t="s">
        <v>294</v>
      </c>
      <c r="L27" s="125">
        <v>0</v>
      </c>
      <c r="M27" s="126" t="str">
        <f>Scheids!$F$15</f>
        <v>Anita Schouten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>
        <v>0</v>
      </c>
      <c r="K28" s="124" t="s">
        <v>294</v>
      </c>
      <c r="L28" s="125">
        <v>0</v>
      </c>
      <c r="M28" s="126" t="str">
        <f>Scheids!$F$15</f>
        <v>Anita Schouten</v>
      </c>
      <c r="N28" s="127"/>
      <c r="O28" s="128"/>
      <c r="Q28" s="129">
        <v>2</v>
      </c>
      <c r="R28" s="129">
        <v>2</v>
      </c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>
        <v>1</v>
      </c>
      <c r="K29" s="124" t="s">
        <v>294</v>
      </c>
      <c r="L29" s="125">
        <v>1</v>
      </c>
      <c r="M29" s="126" t="str">
        <f>Scheids!$D$15</f>
        <v>Rien Beenen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>
        <v>0</v>
      </c>
      <c r="K30" s="124" t="s">
        <v>294</v>
      </c>
      <c r="L30" s="125">
        <v>0</v>
      </c>
      <c r="M30" s="126" t="str">
        <f>Scheids!$D$15</f>
        <v>Rien Beenen</v>
      </c>
      <c r="N30" s="127"/>
      <c r="O30" s="128"/>
      <c r="Q30" s="129">
        <v>1</v>
      </c>
      <c r="R30" s="129">
        <v>2</v>
      </c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>
        <v>0</v>
      </c>
      <c r="K31" s="124" t="s">
        <v>294</v>
      </c>
      <c r="L31" s="125">
        <v>5</v>
      </c>
      <c r="M31" s="126" t="str">
        <f>Scheids!$D$15</f>
        <v>Rien Beenen</v>
      </c>
      <c r="N31" s="127"/>
      <c r="O31" s="128"/>
      <c r="Q31" s="129">
        <v>0</v>
      </c>
      <c r="R31" s="129">
        <v>2</v>
      </c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>
        <v>0</v>
      </c>
      <c r="K32" s="124" t="s">
        <v>294</v>
      </c>
      <c r="L32" s="125">
        <v>1</v>
      </c>
      <c r="M32" s="126" t="str">
        <f>Scheids!$F$15</f>
        <v>Anita Schouten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>
        <v>0</v>
      </c>
      <c r="K33" s="124" t="s">
        <v>294</v>
      </c>
      <c r="L33" s="125">
        <v>0</v>
      </c>
      <c r="M33" s="126" t="str">
        <f>Scheids!$F$15</f>
        <v>Anita Schouten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>
        <v>1</v>
      </c>
      <c r="K34" s="124" t="s">
        <v>294</v>
      </c>
      <c r="L34" s="125">
        <v>1</v>
      </c>
      <c r="M34" s="126" t="str">
        <f>Scheids!$F$15</f>
        <v>Anita Schouten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>
        <v>0</v>
      </c>
      <c r="K35" s="124" t="s">
        <v>294</v>
      </c>
      <c r="L35" s="125">
        <v>3</v>
      </c>
      <c r="M35" s="126" t="str">
        <f>Scheids!$D$15</f>
        <v>Rien Beenen</v>
      </c>
      <c r="N35" s="127"/>
      <c r="O35" s="128"/>
      <c r="Q35" s="129">
        <v>2</v>
      </c>
      <c r="R35" s="129">
        <v>2</v>
      </c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>
        <v>1</v>
      </c>
      <c r="K36" s="124" t="s">
        <v>294</v>
      </c>
      <c r="L36" s="125">
        <v>1</v>
      </c>
      <c r="M36" s="126" t="str">
        <f>Scheids!$D$15</f>
        <v>Rien Beenen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15</v>
      </c>
      <c r="Q41" s="152">
        <f t="shared" ref="Q41:Q48" si="0">COUNT(E41:N41)</f>
        <v>7</v>
      </c>
      <c r="R41" s="152">
        <f>COUNTIFS(E41:N41,3)</f>
        <v>4</v>
      </c>
      <c r="S41" s="152">
        <f>COUNTIFS(E41:N41,0)</f>
        <v>0</v>
      </c>
      <c r="T41" s="152">
        <f>COUNTIFS(E41:N41,1)</f>
        <v>3</v>
      </c>
      <c r="U41" s="152">
        <f>J11+L18+J21+J23+L29+J34+L36</f>
        <v>13</v>
      </c>
      <c r="V41" s="152">
        <f>L11+J18+L21+L23+J29+L34+J36</f>
        <v>3</v>
      </c>
      <c r="W41" s="152">
        <f>Q11+R18+Q21+Q23+R29+Q34+R36</f>
        <v>14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0</v>
      </c>
      <c r="J42" s="158"/>
      <c r="K42" s="156">
        <f>IF(AND($J$28&lt;&gt;"",$L$28&lt;&gt;""),IF($J$28&gt;$L$28,3,IF($J$28=$L$28,1,0)),"")</f>
        <v>1</v>
      </c>
      <c r="L42" s="158"/>
      <c r="M42" s="156">
        <f>IF(AND($J$33&lt;&gt;"",$L$33&lt;&gt;""),IF($J$33&gt;$L$33,3,IF($J$33=$L$33,1,0)),"")</f>
        <v>1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3</v>
      </c>
      <c r="U42" s="152">
        <f>L11+J15+L19+J25+J28+J33+L37</f>
        <v>2</v>
      </c>
      <c r="V42" s="152">
        <f>J11+L15+J19+L25+L28+L33+J37</f>
        <v>5</v>
      </c>
      <c r="W42" s="152">
        <f>R11+Q15+R19+Q25+Q28+Q33+R37</f>
        <v>11</v>
      </c>
      <c r="X42" s="129">
        <f t="shared" si="1"/>
        <v>6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57">
        <f>IF(AND($J$35&lt;&gt;"",$L$35&lt;&gt;""),IF($J$35&lt;$L$35,3,IF($J$35=$L$35,1,0)),"")</f>
        <v>3</v>
      </c>
      <c r="O43" s="157" cm="1">
        <f t="array" ref="O43">IF(SUMPRODUCT(--(E43:N43&lt;&gt;""))&lt;&gt;0,SUM(E43:N43),"")</f>
        <v>10</v>
      </c>
      <c r="Q43" s="152">
        <f t="shared" si="0"/>
        <v>7</v>
      </c>
      <c r="R43" s="152">
        <f t="shared" si="2"/>
        <v>3</v>
      </c>
      <c r="S43" s="152">
        <f t="shared" si="3"/>
        <v>3</v>
      </c>
      <c r="T43" s="152">
        <f t="shared" si="4"/>
        <v>1</v>
      </c>
      <c r="U43" s="152">
        <f>J12+L15+J20+L23+J27+J32+L35</f>
        <v>5</v>
      </c>
      <c r="V43" s="152">
        <f>L12+J15+L20+J23+L27+L32+J35</f>
        <v>4</v>
      </c>
      <c r="W43" s="152">
        <f>Q12+R15+Q20+R23+Q27+Q32+R35</f>
        <v>10</v>
      </c>
      <c r="X43" s="129">
        <f t="shared" si="1"/>
        <v>2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58"/>
      <c r="M44" s="156">
        <f>IF(AND($J$31&lt;&gt;"",$L$31&lt;&gt;""),IF($J$31&lt;$L$31,3,IF($J$31=$L$31,1,0)),"")</f>
        <v>3</v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5</v>
      </c>
      <c r="Q44" s="152">
        <f t="shared" si="0"/>
        <v>6</v>
      </c>
      <c r="R44" s="152">
        <f t="shared" si="2"/>
        <v>1</v>
      </c>
      <c r="S44" s="152">
        <f t="shared" si="3"/>
        <v>3</v>
      </c>
      <c r="T44" s="152">
        <f t="shared" si="4"/>
        <v>2</v>
      </c>
      <c r="U44" s="152">
        <f>L12+J16+J19+L24+J29+L31+L38</f>
        <v>7</v>
      </c>
      <c r="V44" s="152">
        <f>J12+L16+L19+J24+L29+J31+J38</f>
        <v>6</v>
      </c>
      <c r="W44" s="152">
        <f>R12+Q16+Q19+R24+Q29+R31+R38</f>
        <v>12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>
        <f>IF(AND($J$26&lt;&gt;"",$L$26&lt;&gt;""),IF($J$26&gt;$L$26,3,IF($J$26=$L$26,1,0)),"")</f>
        <v>3</v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10</v>
      </c>
      <c r="Q45" s="152">
        <f t="shared" si="0"/>
        <v>6</v>
      </c>
      <c r="R45" s="152">
        <f t="shared" si="2"/>
        <v>2</v>
      </c>
      <c r="S45" s="152">
        <f t="shared" si="3"/>
        <v>0</v>
      </c>
      <c r="T45" s="152">
        <f t="shared" si="4"/>
        <v>4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11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10</v>
      </c>
      <c r="Q46" s="152">
        <f t="shared" si="0"/>
        <v>7</v>
      </c>
      <c r="R46" s="152">
        <f t="shared" si="2"/>
        <v>2</v>
      </c>
      <c r="S46" s="152">
        <f t="shared" si="3"/>
        <v>1</v>
      </c>
      <c r="T46" s="152">
        <f t="shared" si="4"/>
        <v>4</v>
      </c>
      <c r="U46" s="152">
        <f>L13+J17+J22+J24+L27+L33+J36</f>
        <v>4</v>
      </c>
      <c r="V46" s="152">
        <f>J13+L17+L22+L24+J27+J33+L36</f>
        <v>2</v>
      </c>
      <c r="W46" s="152">
        <f>R13+Q17+Q22+Q24+R27+R33+Q36</f>
        <v>12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10</v>
      </c>
      <c r="Q47" s="152">
        <f t="shared" si="0"/>
        <v>6</v>
      </c>
      <c r="R47" s="152">
        <f t="shared" si="2"/>
        <v>3</v>
      </c>
      <c r="S47" s="152">
        <f t="shared" si="3"/>
        <v>2</v>
      </c>
      <c r="T47" s="152">
        <f t="shared" si="4"/>
        <v>1</v>
      </c>
      <c r="U47" s="152">
        <f>J14+L17+L21+L25+J30+L32+J38</f>
        <v>3</v>
      </c>
      <c r="V47" s="152">
        <f>L14+J17+J21+J25+L30+J32+L38</f>
        <v>2</v>
      </c>
      <c r="W47" s="152">
        <f>Q14+R17+R21+R25+Q30+R32+Q38</f>
        <v>9</v>
      </c>
      <c r="X47" s="129">
        <f t="shared" si="1"/>
        <v>2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>
        <f>IF(AND($J$26&lt;&gt;"",$L$26&lt;&gt;""),IF($J$26&lt;$L$26,3,IF($J$26=$L$26,1,0)),"")</f>
        <v>0</v>
      </c>
      <c r="J48" s="141"/>
      <c r="K48" s="143">
        <f>IF(AND($J$28&lt;&gt;"",$L$28&lt;&gt;""),IF($J$28&lt;$L$28,3,IF($J$28=$L$28,1,0)),"")</f>
        <v>1</v>
      </c>
      <c r="L48" s="141"/>
      <c r="M48" s="142">
        <f>IF(AND($J$31&lt;&gt;"",$L$31&lt;&gt;""),IF($J$31&gt;$L$31,3,IF($J$31=$L$31,1,0)),"")</f>
        <v>0</v>
      </c>
      <c r="N48" s="165">
        <f>IF(AND($J$35&lt;&gt;"",$L$35&lt;&gt;""),IF($J$35&gt;$L$35,3,IF($J$35=$L$35,1,0)),"")</f>
        <v>0</v>
      </c>
      <c r="O48" s="157" cm="1">
        <f t="array" ref="O48">IF(SUMPRODUCT(--(E48:N48&lt;&gt;""))&lt;&gt;0,SUM(E48:N48),"")</f>
        <v>2</v>
      </c>
      <c r="Q48" s="152">
        <f t="shared" si="0"/>
        <v>7</v>
      </c>
      <c r="R48" s="152">
        <f t="shared" si="2"/>
        <v>0</v>
      </c>
      <c r="S48" s="152">
        <f t="shared" si="3"/>
        <v>5</v>
      </c>
      <c r="T48" s="152">
        <f t="shared" si="4"/>
        <v>2</v>
      </c>
      <c r="U48" s="152">
        <f>L14+J18+L22+L26+L28+J31+J35</f>
        <v>0</v>
      </c>
      <c r="V48" s="152">
        <f>J14+L18+J22+J26+J28+L31+L35</f>
        <v>14</v>
      </c>
      <c r="W48" s="152">
        <f>+R14+Q18+R22+R26+R28+Q31+Q35</f>
        <v>10</v>
      </c>
      <c r="X48" s="129">
        <f t="shared" si="1"/>
        <v>8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1B299-30D6-469C-AECE-537537BEE154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>
        <v>1</v>
      </c>
      <c r="K23" s="124" t="s">
        <v>294</v>
      </c>
      <c r="L23" s="125">
        <v>1</v>
      </c>
      <c r="M23" s="126" t="str">
        <f>Scheids!$F$16</f>
        <v>Frank Maat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>
        <v>0</v>
      </c>
      <c r="K24" s="124" t="s">
        <v>294</v>
      </c>
      <c r="L24" s="125">
        <v>5</v>
      </c>
      <c r="M24" s="126" t="str">
        <f>Scheids!$F$16</f>
        <v>Frank Maat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>
        <v>2</v>
      </c>
      <c r="K25" s="124" t="s">
        <v>294</v>
      </c>
      <c r="L25" s="125">
        <v>0</v>
      </c>
      <c r="M25" s="126" t="str">
        <f>Scheids!$F$16</f>
        <v>Frank Maat</v>
      </c>
      <c r="N25" s="127"/>
      <c r="O25" s="128"/>
      <c r="Q25" s="129">
        <v>0</v>
      </c>
      <c r="R25" s="129">
        <v>0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>
        <v>0</v>
      </c>
      <c r="K27" s="124" t="s">
        <v>294</v>
      </c>
      <c r="L27" s="125">
        <v>2</v>
      </c>
      <c r="M27" s="126" t="str">
        <f>Scheids!$D$16</f>
        <v>Diana Schouten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>
        <v>1</v>
      </c>
      <c r="K29" s="124" t="s">
        <v>294</v>
      </c>
      <c r="L29" s="125">
        <v>0</v>
      </c>
      <c r="M29" s="126" t="str">
        <f>Scheids!$D$16</f>
        <v>Diana Schouten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>
        <v>0</v>
      </c>
      <c r="K30" s="124" t="s">
        <v>294</v>
      </c>
      <c r="L30" s="125">
        <v>4</v>
      </c>
      <c r="M30" s="126" t="str">
        <f>Scheids!$D$16</f>
        <v>Diana Schouten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>
        <v>0</v>
      </c>
      <c r="K32" s="124" t="s">
        <v>294</v>
      </c>
      <c r="L32" s="125">
        <v>2</v>
      </c>
      <c r="M32" s="126" t="str">
        <f>Scheids!$F$16</f>
        <v>Frank Maat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>
        <v>3</v>
      </c>
      <c r="K33" s="124" t="s">
        <v>294</v>
      </c>
      <c r="L33" s="125">
        <v>0</v>
      </c>
      <c r="M33" s="126" t="str">
        <f>Scheids!$F$16</f>
        <v>Frank Maat</v>
      </c>
      <c r="N33" s="127"/>
      <c r="O33" s="128"/>
      <c r="Q33" s="129">
        <v>1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>
        <v>0</v>
      </c>
      <c r="K34" s="124" t="s">
        <v>294</v>
      </c>
      <c r="L34" s="125">
        <v>8</v>
      </c>
      <c r="M34" s="126" t="str">
        <f>Scheids!$F$16</f>
        <v>Frank Maat</v>
      </c>
      <c r="N34" s="127"/>
      <c r="O34" s="128"/>
      <c r="Q34" s="129">
        <v>2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>
        <v>1</v>
      </c>
      <c r="K36" s="124" t="s">
        <v>294</v>
      </c>
      <c r="L36" s="125">
        <v>0</v>
      </c>
      <c r="M36" s="126" t="str">
        <f>Scheids!$D$16</f>
        <v>Diana Schouten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5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15</v>
      </c>
      <c r="Q42" s="152">
        <f t="shared" si="0"/>
        <v>5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15</v>
      </c>
      <c r="V42" s="152">
        <f>J11+L15+J19+L25+L28+L33+J37</f>
        <v>0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6</v>
      </c>
      <c r="R43" s="152">
        <f t="shared" si="2"/>
        <v>0</v>
      </c>
      <c r="S43" s="152">
        <f t="shared" si="3"/>
        <v>5</v>
      </c>
      <c r="T43" s="152">
        <f t="shared" si="4"/>
        <v>1</v>
      </c>
      <c r="U43" s="152">
        <f>J12+L15+J20+L23+J27+J32+L35</f>
        <v>1</v>
      </c>
      <c r="V43" s="152">
        <f>L12+J15+L20+J23+L27+L32+J35</f>
        <v>14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5</v>
      </c>
      <c r="R44" s="152">
        <f t="shared" si="2"/>
        <v>3</v>
      </c>
      <c r="S44" s="152">
        <f t="shared" si="3"/>
        <v>2</v>
      </c>
      <c r="T44" s="152">
        <f t="shared" si="4"/>
        <v>0</v>
      </c>
      <c r="U44" s="152">
        <f>L12+J16+J19+L24+J29+L31+L38</f>
        <v>7</v>
      </c>
      <c r="V44" s="152">
        <f>J12+L16+L19+J24+L29+J31+J38</f>
        <v>2</v>
      </c>
      <c r="W44" s="152">
        <f>R12+Q16+Q19+R24+Q29+R31+R38</f>
        <v>9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3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15</v>
      </c>
      <c r="Q45" s="152">
        <f t="shared" si="0"/>
        <v>5</v>
      </c>
      <c r="R45" s="152">
        <f t="shared" si="2"/>
        <v>5</v>
      </c>
      <c r="S45" s="152">
        <f t="shared" si="3"/>
        <v>0</v>
      </c>
      <c r="T45" s="152">
        <f t="shared" si="4"/>
        <v>0</v>
      </c>
      <c r="U45" s="152">
        <f>J13+L16+L20+J26+L30+L34+J37</f>
        <v>22</v>
      </c>
      <c r="V45" s="152">
        <f>L13+J16+J20+L26+J30+J34+L37</f>
        <v>0</v>
      </c>
      <c r="W45" s="152">
        <f>Q13+R16+R20+Q26+R30+R34+Q37</f>
        <v>7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6</v>
      </c>
      <c r="V46" s="152">
        <f>J13+L17+L22+L24+J27+J33+L36</f>
        <v>14</v>
      </c>
      <c r="W46" s="152">
        <f>R13+Q17+Q22+Q24+R27+R33+Q36</f>
        <v>10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0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2</v>
      </c>
      <c r="S47" s="152">
        <f t="shared" si="3"/>
        <v>3</v>
      </c>
      <c r="T47" s="152">
        <f t="shared" si="4"/>
        <v>0</v>
      </c>
      <c r="U47" s="152">
        <f>J14+L17+L21+L25+J30+L32+J38</f>
        <v>6</v>
      </c>
      <c r="V47" s="152">
        <f>L14+J17+J21+J25+L30+J32+L38</f>
        <v>9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E9A78-7D46-42DF-B4E6-1AFAF1EA0334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>
        <v>0</v>
      </c>
      <c r="K23" s="124" t="s">
        <v>294</v>
      </c>
      <c r="L23" s="125">
        <v>2</v>
      </c>
      <c r="M23" s="126" t="str">
        <f>Scheids!$F$17</f>
        <v>Quinten Kube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>
        <v>4</v>
      </c>
      <c r="K24" s="124" t="s">
        <v>294</v>
      </c>
      <c r="L24" s="125">
        <v>0</v>
      </c>
      <c r="M24" s="126" t="str">
        <f>Scheids!$F$17</f>
        <v>Quinten Kube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>
        <v>0</v>
      </c>
      <c r="K25" s="124" t="s">
        <v>294</v>
      </c>
      <c r="L25" s="125">
        <v>5</v>
      </c>
      <c r="M25" s="126" t="str">
        <f>Scheids!$F$17</f>
        <v>Quinten Kube</v>
      </c>
      <c r="N25" s="127"/>
      <c r="O25" s="128"/>
      <c r="Q25" s="129">
        <v>0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>
        <v>0</v>
      </c>
      <c r="K27" s="124" t="s">
        <v>294</v>
      </c>
      <c r="L27" s="125">
        <v>4</v>
      </c>
      <c r="M27" s="126" t="str">
        <f>Scheids!$D$17</f>
        <v>Patrick vd Helm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>
        <v>3</v>
      </c>
      <c r="K29" s="124" t="s">
        <v>294</v>
      </c>
      <c r="L29" s="125">
        <v>0</v>
      </c>
      <c r="M29" s="126" t="str">
        <f>Scheids!$D$17</f>
        <v>Patrick vd Helm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>
        <v>4</v>
      </c>
      <c r="K30" s="124" t="s">
        <v>294</v>
      </c>
      <c r="L30" s="125">
        <v>0</v>
      </c>
      <c r="M30" s="126" t="str">
        <f>Scheids!$D$17</f>
        <v>Patrick vd Helm</v>
      </c>
      <c r="N30" s="127"/>
      <c r="O30" s="128"/>
      <c r="Q30" s="129">
        <v>2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>
        <v>0</v>
      </c>
      <c r="K32" s="124" t="s">
        <v>294</v>
      </c>
      <c r="L32" s="125">
        <v>1</v>
      </c>
      <c r="M32" s="126" t="str">
        <f>Scheids!$F$17</f>
        <v>Quinten Kube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>
        <v>0</v>
      </c>
      <c r="K33" s="124" t="s">
        <v>294</v>
      </c>
      <c r="L33" s="125">
        <v>6</v>
      </c>
      <c r="M33" s="126" t="str">
        <f>Scheids!$F$17</f>
        <v>Quinten Kube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>
        <v>0</v>
      </c>
      <c r="K34" s="124" t="s">
        <v>294</v>
      </c>
      <c r="L34" s="125">
        <v>5</v>
      </c>
      <c r="M34" s="126" t="str">
        <f>Scheids!$F$17</f>
        <v>Quinten Kube</v>
      </c>
      <c r="N34" s="127"/>
      <c r="O34" s="128"/>
      <c r="Q34" s="129">
        <v>0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>
        <v>6</v>
      </c>
      <c r="K36" s="124" t="s">
        <v>294</v>
      </c>
      <c r="L36" s="125">
        <v>0</v>
      </c>
      <c r="M36" s="126" t="str">
        <f>Scheids!$D$17</f>
        <v>Patrick vd Helm</v>
      </c>
      <c r="N36" s="127"/>
      <c r="O36" s="128"/>
      <c r="Q36" s="129">
        <v>1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5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18</v>
      </c>
      <c r="W41" s="152">
        <f>Q11+R18+Q21+Q23+R29+Q34+R36</f>
        <v>10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5</v>
      </c>
      <c r="R42" s="152">
        <f t="shared" ref="R42:R48" si="2">COUNTIFS(E42:N42,3)</f>
        <v>0</v>
      </c>
      <c r="S42" s="152">
        <f t="shared" ref="S42:S48" si="3">COUNTIFS(E42:N42,0)</f>
        <v>3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15</v>
      </c>
      <c r="W42" s="152">
        <f>R11+Q15+R19+Q25+Q28+Q33+R37</f>
        <v>7</v>
      </c>
      <c r="X42" s="129">
        <f t="shared" si="1"/>
        <v>6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3</v>
      </c>
      <c r="V43" s="152">
        <f>L12+J15+L20+J23+L27+L32+J35</f>
        <v>9</v>
      </c>
      <c r="W43" s="152">
        <f>Q12+R15+Q20+R23+Q27+Q32+R35</f>
        <v>10</v>
      </c>
      <c r="X43" s="129">
        <f t="shared" si="1"/>
        <v>5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4</v>
      </c>
      <c r="W44" s="152">
        <f>R12+Q16+Q19+R24+Q29+R31+R38</f>
        <v>10</v>
      </c>
      <c r="X44" s="129">
        <f t="shared" si="1"/>
        <v>3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5</v>
      </c>
      <c r="R45" s="152">
        <f t="shared" si="2"/>
        <v>2</v>
      </c>
      <c r="S45" s="152">
        <f t="shared" si="3"/>
        <v>2</v>
      </c>
      <c r="T45" s="152">
        <f t="shared" si="4"/>
        <v>1</v>
      </c>
      <c r="U45" s="152">
        <f>J13+L16+L20+J26+L30+L34+J37</f>
        <v>7</v>
      </c>
      <c r="V45" s="152">
        <f>L13+J16+J20+L26+J30+J34+L37</f>
        <v>5</v>
      </c>
      <c r="W45" s="152">
        <f>Q13+R16+R20+Q26+R30+R34+Q37</f>
        <v>7</v>
      </c>
      <c r="X45" s="129">
        <f t="shared" si="1"/>
        <v>4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24</v>
      </c>
      <c r="V46" s="152">
        <f>J13+L17+L22+L24+J27+J33+L36</f>
        <v>0</v>
      </c>
      <c r="W46" s="152">
        <f>R13+Q17+Q22+Q24+R27+R33+Q36</f>
        <v>11</v>
      </c>
      <c r="X46" s="129">
        <f t="shared" si="1"/>
        <v>1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12</v>
      </c>
      <c r="Q47" s="152">
        <f t="shared" si="0"/>
        <v>5</v>
      </c>
      <c r="R47" s="152">
        <f t="shared" si="2"/>
        <v>4</v>
      </c>
      <c r="S47" s="152">
        <f t="shared" si="3"/>
        <v>1</v>
      </c>
      <c r="T47" s="152">
        <f t="shared" si="4"/>
        <v>0</v>
      </c>
      <c r="U47" s="152">
        <f>J14+L17+L21+L25+J30+L32+J38</f>
        <v>11</v>
      </c>
      <c r="V47" s="152">
        <f>L14+J17+J21+J25+L30+J32+L38</f>
        <v>3</v>
      </c>
      <c r="W47" s="152">
        <f>Q14+R17+R21+R25+Q30+R32+Q38</f>
        <v>10</v>
      </c>
      <c r="X47" s="129">
        <f t="shared" si="1"/>
        <v>2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54D45-2669-451B-88B9-37EB2B4F6601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>
        <v>2</v>
      </c>
      <c r="K23" s="124" t="s">
        <v>294</v>
      </c>
      <c r="L23" s="125">
        <v>0</v>
      </c>
      <c r="M23" s="126" t="str">
        <f>Scheids!$F$18</f>
        <v>Andrew Kube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>
        <v>1</v>
      </c>
      <c r="K24" s="124" t="s">
        <v>294</v>
      </c>
      <c r="L24" s="125">
        <v>0</v>
      </c>
      <c r="M24" s="126" t="str">
        <f>Scheids!$F$18</f>
        <v>Andrew Kube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>
        <v>0</v>
      </c>
      <c r="K25" s="124" t="s">
        <v>294</v>
      </c>
      <c r="L25" s="125">
        <v>3</v>
      </c>
      <c r="M25" s="126" t="str">
        <f>Scheids!$F$18</f>
        <v>Andrew Kube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>
        <v>0</v>
      </c>
      <c r="K27" s="124" t="s">
        <v>294</v>
      </c>
      <c r="L27" s="125">
        <v>2</v>
      </c>
      <c r="M27" s="126" t="str">
        <f>Scheids!$D$18</f>
        <v>Martin van Blitterswijk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>
        <v>1</v>
      </c>
      <c r="K29" s="124" t="s">
        <v>294</v>
      </c>
      <c r="L29" s="125">
        <v>1</v>
      </c>
      <c r="M29" s="126" t="str">
        <f>Scheids!$D$18</f>
        <v>Martin van Blitterswijk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>
        <v>3</v>
      </c>
      <c r="K30" s="124" t="s">
        <v>294</v>
      </c>
      <c r="L30" s="125">
        <v>0</v>
      </c>
      <c r="M30" s="126" t="str">
        <f>Scheids!$D$18</f>
        <v>Martin van Blitterswijk</v>
      </c>
      <c r="N30" s="127"/>
      <c r="O30" s="128"/>
      <c r="Q30" s="129">
        <v>1</v>
      </c>
      <c r="R30" s="129">
        <v>1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>
        <v>0</v>
      </c>
      <c r="K32" s="124" t="s">
        <v>294</v>
      </c>
      <c r="L32" s="125">
        <v>4</v>
      </c>
      <c r="M32" s="126" t="str">
        <f>Scheids!$F$18</f>
        <v>Andrew Kube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>
        <v>0</v>
      </c>
      <c r="K33" s="124" t="s">
        <v>294</v>
      </c>
      <c r="L33" s="125">
        <v>4</v>
      </c>
      <c r="M33" s="126" t="str">
        <f>Scheids!$F$18</f>
        <v>Andrew Kube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>
        <v>0</v>
      </c>
      <c r="K34" s="124" t="s">
        <v>294</v>
      </c>
      <c r="L34" s="125">
        <v>1</v>
      </c>
      <c r="M34" s="126" t="str">
        <f>Scheids!$F$18</f>
        <v>Andrew Kube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>
        <v>3</v>
      </c>
      <c r="K36" s="124" t="s">
        <v>294</v>
      </c>
      <c r="L36" s="125">
        <v>1</v>
      </c>
      <c r="M36" s="126" t="str">
        <f>Scheids!$D$18</f>
        <v>Martin van Blitterswijk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7</v>
      </c>
      <c r="Q41" s="152">
        <f t="shared" ref="Q41:Q48" si="0">COUNT(E41:N41)</f>
        <v>6</v>
      </c>
      <c r="R41" s="152">
        <f>COUNTIFS(E41:N41,3)</f>
        <v>2</v>
      </c>
      <c r="S41" s="152">
        <f>COUNTIFS(E41:N41,0)</f>
        <v>3</v>
      </c>
      <c r="T41" s="152">
        <f>COUNTIFS(E41:N41,1)</f>
        <v>1</v>
      </c>
      <c r="U41" s="152">
        <f>J11+L18+J21+J23+L29+J34+L36</f>
        <v>7</v>
      </c>
      <c r="V41" s="152">
        <f>L11+J18+L21+L23+J29+L34+J36</f>
        <v>7</v>
      </c>
      <c r="W41" s="152">
        <f>Q11+R18+Q21+Q23+R29+Q34+R36</f>
        <v>6</v>
      </c>
      <c r="X41" s="129">
        <f t="shared" ref="X41:X48" si="1">IF(Y41="",IF(O41&lt;&gt;"",_xlfn.RANK.EQ(O41,$O$41:$O$48),""),Y41)</f>
        <v>5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5</v>
      </c>
      <c r="R42" s="152">
        <f t="shared" ref="R42:R48" si="2">COUNTIFS(E42:N42,3)</f>
        <v>1</v>
      </c>
      <c r="S42" s="152">
        <f t="shared" ref="S42:S48" si="3">COUNTIFS(E42:N42,0)</f>
        <v>4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12</v>
      </c>
      <c r="W42" s="152">
        <f>R11+Q15+R19+Q25+Q28+Q33+R37</f>
        <v>6</v>
      </c>
      <c r="X42" s="129">
        <f t="shared" si="1"/>
        <v>6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6</v>
      </c>
      <c r="R43" s="152">
        <f t="shared" si="2"/>
        <v>0</v>
      </c>
      <c r="S43" s="152">
        <f t="shared" si="3"/>
        <v>6</v>
      </c>
      <c r="T43" s="152">
        <f t="shared" si="4"/>
        <v>0</v>
      </c>
      <c r="U43" s="152">
        <f>J12+L15+J20+L23+J27+J32+L35</f>
        <v>0</v>
      </c>
      <c r="V43" s="152">
        <f>L12+J15+L20+J23+L27+L32+J35</f>
        <v>13</v>
      </c>
      <c r="W43" s="152">
        <f>Q12+R15+Q20+R23+Q27+Q32+R35</f>
        <v>7</v>
      </c>
      <c r="X43" s="129">
        <f t="shared" si="1"/>
        <v>7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10</v>
      </c>
      <c r="Q44" s="152">
        <f t="shared" si="0"/>
        <v>5</v>
      </c>
      <c r="R44" s="152">
        <f t="shared" si="2"/>
        <v>3</v>
      </c>
      <c r="S44" s="152">
        <f t="shared" si="3"/>
        <v>1</v>
      </c>
      <c r="T44" s="152">
        <f t="shared" si="4"/>
        <v>1</v>
      </c>
      <c r="U44" s="152">
        <f>L12+J16+J19+L24+J29+L31+L38</f>
        <v>6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5</v>
      </c>
      <c r="R45" s="152">
        <f t="shared" si="2"/>
        <v>3</v>
      </c>
      <c r="S45" s="152">
        <f t="shared" si="3"/>
        <v>2</v>
      </c>
      <c r="T45" s="152">
        <f t="shared" si="4"/>
        <v>0</v>
      </c>
      <c r="U45" s="152">
        <f>J13+L16+L20+J26+L30+L34+J37</f>
        <v>4</v>
      </c>
      <c r="V45" s="152">
        <f>L13+J16+J20+L26+J30+J34+L37</f>
        <v>4</v>
      </c>
      <c r="W45" s="152">
        <f>Q13+R16+R20+Q26+R30+R34+Q37</f>
        <v>6</v>
      </c>
      <c r="X45" s="129">
        <f t="shared" si="1"/>
        <v>4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12</v>
      </c>
      <c r="Q46" s="152">
        <f t="shared" si="0"/>
        <v>6</v>
      </c>
      <c r="R46" s="152">
        <f t="shared" si="2"/>
        <v>4</v>
      </c>
      <c r="S46" s="152">
        <f t="shared" si="3"/>
        <v>2</v>
      </c>
      <c r="T46" s="152">
        <f t="shared" si="4"/>
        <v>0</v>
      </c>
      <c r="U46" s="152">
        <f>L13+J17+J22+J24+L27+L33+J36</f>
        <v>11</v>
      </c>
      <c r="V46" s="152">
        <f>J13+L17+L22+L24+J27+J33+L36</f>
        <v>5</v>
      </c>
      <c r="W46" s="152">
        <f>R13+Q17+Q22+Q24+R27+R33+Q36</f>
        <v>6</v>
      </c>
      <c r="X46" s="129">
        <f t="shared" si="1"/>
        <v>2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15</v>
      </c>
      <c r="V47" s="152">
        <f>L14+J17+J21+J25+L30+J32+L38</f>
        <v>1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79B27-1D41-4296-B29C-8FDF116ADB6B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>
        <v>2</v>
      </c>
      <c r="K23" s="124" t="s">
        <v>294</v>
      </c>
      <c r="L23" s="125">
        <v>0</v>
      </c>
      <c r="M23" s="126" t="str">
        <f>Scheids!$F$19</f>
        <v>Robert vd Bosch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>
        <v>0</v>
      </c>
      <c r="K24" s="124" t="s">
        <v>294</v>
      </c>
      <c r="L24" s="125">
        <v>3</v>
      </c>
      <c r="M24" s="126" t="str">
        <f>Scheids!$F$19</f>
        <v>Robert vd Bosch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>
        <v>0</v>
      </c>
      <c r="K25" s="124" t="s">
        <v>294</v>
      </c>
      <c r="L25" s="125">
        <v>1</v>
      </c>
      <c r="M25" s="126" t="str">
        <f>Scheids!$F$19</f>
        <v>Robert vd Bosch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>
        <v>0</v>
      </c>
      <c r="K27" s="124" t="s">
        <v>294</v>
      </c>
      <c r="L27" s="125">
        <v>2</v>
      </c>
      <c r="M27" s="126" t="str">
        <f>Scheids!$D$19</f>
        <v>John Kortekaas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>
        <v>0</v>
      </c>
      <c r="K29" s="124" t="s">
        <v>294</v>
      </c>
      <c r="L29" s="125">
        <v>2</v>
      </c>
      <c r="M29" s="126" t="str">
        <f>Scheids!$D$19</f>
        <v>John Kortekaas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>
        <v>0</v>
      </c>
      <c r="K30" s="124" t="s">
        <v>294</v>
      </c>
      <c r="L30" s="125">
        <v>0</v>
      </c>
      <c r="M30" s="126" t="str">
        <f>Scheids!$D$19</f>
        <v>John Kortekaas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>
        <v>1</v>
      </c>
      <c r="K32" s="124" t="s">
        <v>294</v>
      </c>
      <c r="L32" s="125">
        <v>1</v>
      </c>
      <c r="M32" s="126" t="str">
        <f>Scheids!$F$19</f>
        <v>Robert vd Bosch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>
        <v>1</v>
      </c>
      <c r="K33" s="124" t="s">
        <v>294</v>
      </c>
      <c r="L33" s="125">
        <v>0</v>
      </c>
      <c r="M33" s="126" t="str">
        <f>Scheids!$F$19</f>
        <v>Robert vd Bosch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>
        <v>3</v>
      </c>
      <c r="K34" s="124" t="s">
        <v>294</v>
      </c>
      <c r="L34" s="125">
        <v>0</v>
      </c>
      <c r="M34" s="126" t="str">
        <f>Scheids!$F$19</f>
        <v>Robert vd Bosch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>
        <v>0</v>
      </c>
      <c r="K36" s="124" t="s">
        <v>294</v>
      </c>
      <c r="L36" s="125">
        <v>1</v>
      </c>
      <c r="M36" s="126" t="str">
        <f>Scheids!$D$19</f>
        <v>John Kortekaas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18</v>
      </c>
      <c r="Q41" s="152">
        <f t="shared" ref="Q41:Q48" si="0">COUNT(E41:N41)</f>
        <v>6</v>
      </c>
      <c r="R41" s="152">
        <f>COUNTIFS(E41:N41,3)</f>
        <v>6</v>
      </c>
      <c r="S41" s="152">
        <f>COUNTIFS(E41:N41,0)</f>
        <v>0</v>
      </c>
      <c r="T41" s="152">
        <f>COUNTIFS(E41:N41,1)</f>
        <v>0</v>
      </c>
      <c r="U41" s="152">
        <f>J11+L18+J21+J23+L29+J34+L36</f>
        <v>13</v>
      </c>
      <c r="V41" s="152">
        <f>L11+J18+L21+L23+J29+L34+J36</f>
        <v>1</v>
      </c>
      <c r="W41" s="152">
        <f>Q11+R18+Q21+Q23+R29+Q34+R36</f>
        <v>11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5</v>
      </c>
      <c r="R42" s="152">
        <f t="shared" ref="R42:R48" si="2">COUNTIFS(E42:N42,3)</f>
        <v>2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4</v>
      </c>
      <c r="V42" s="152">
        <f>J11+L15+J19+L25+L28+L33+J37</f>
        <v>8</v>
      </c>
      <c r="W42" s="152">
        <f>R11+Q15+R19+Q25+Q28+Q33+R37</f>
        <v>9</v>
      </c>
      <c r="X42" s="129">
        <f t="shared" si="1"/>
        <v>4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2</v>
      </c>
      <c r="Q43" s="152">
        <f t="shared" si="0"/>
        <v>6</v>
      </c>
      <c r="R43" s="152">
        <f t="shared" si="2"/>
        <v>0</v>
      </c>
      <c r="S43" s="152">
        <f t="shared" si="3"/>
        <v>4</v>
      </c>
      <c r="T43" s="152">
        <f t="shared" si="4"/>
        <v>2</v>
      </c>
      <c r="U43" s="152">
        <f>J12+L15+J20+L23+J27+J32+L35</f>
        <v>1</v>
      </c>
      <c r="V43" s="152">
        <f>L12+J15+L20+J23+L27+L32+J35</f>
        <v>12</v>
      </c>
      <c r="W43" s="152">
        <f>Q12+R15+Q20+R23+Q27+Q32+R35</f>
        <v>10</v>
      </c>
      <c r="X43" s="129">
        <f t="shared" si="1"/>
        <v>6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12</v>
      </c>
      <c r="Q44" s="152">
        <f t="shared" si="0"/>
        <v>5</v>
      </c>
      <c r="R44" s="152">
        <f t="shared" si="2"/>
        <v>4</v>
      </c>
      <c r="S44" s="152">
        <f t="shared" si="3"/>
        <v>1</v>
      </c>
      <c r="T44" s="152">
        <f t="shared" si="4"/>
        <v>0</v>
      </c>
      <c r="U44" s="152">
        <f>L12+J16+J19+L24+J29+L31+L38</f>
        <v>14</v>
      </c>
      <c r="V44" s="152">
        <f>J12+L16+L19+J24+L29+J31+J38</f>
        <v>2</v>
      </c>
      <c r="W44" s="152">
        <f>R12+Q16+Q19+R24+Q29+R31+R38</f>
        <v>9</v>
      </c>
      <c r="X44" s="129">
        <f t="shared" si="1"/>
        <v>2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2</v>
      </c>
      <c r="Q45" s="152">
        <f t="shared" si="0"/>
        <v>5</v>
      </c>
      <c r="R45" s="152">
        <f t="shared" si="2"/>
        <v>0</v>
      </c>
      <c r="S45" s="152">
        <f t="shared" si="3"/>
        <v>3</v>
      </c>
      <c r="T45" s="152">
        <f t="shared" si="4"/>
        <v>2</v>
      </c>
      <c r="U45" s="152">
        <f>J13+L16+L20+J26+L30+L34+J37</f>
        <v>0</v>
      </c>
      <c r="V45" s="152">
        <f>L13+J16+J20+L26+J30+J34+L37</f>
        <v>8</v>
      </c>
      <c r="W45" s="152">
        <f>Q13+R16+R20+Q26+R30+R34+Q37</f>
        <v>8</v>
      </c>
      <c r="X45" s="129">
        <f t="shared" si="1"/>
        <v>6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7</v>
      </c>
      <c r="Q46" s="152">
        <f t="shared" si="0"/>
        <v>6</v>
      </c>
      <c r="R46" s="152">
        <f t="shared" si="2"/>
        <v>2</v>
      </c>
      <c r="S46" s="152">
        <f t="shared" si="3"/>
        <v>3</v>
      </c>
      <c r="T46" s="152">
        <f t="shared" si="4"/>
        <v>1</v>
      </c>
      <c r="U46" s="152">
        <f>L13+J17+J22+J24+L27+L33+J36</f>
        <v>5</v>
      </c>
      <c r="V46" s="152">
        <f>J13+L17+L22+L24+J27+J33+L36</f>
        <v>6</v>
      </c>
      <c r="W46" s="152">
        <f>R13+Q17+Q22+Q24+R27+R33+Q36</f>
        <v>12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5</v>
      </c>
      <c r="R47" s="152">
        <f t="shared" si="2"/>
        <v>1</v>
      </c>
      <c r="S47" s="152">
        <f t="shared" si="3"/>
        <v>1</v>
      </c>
      <c r="T47" s="152">
        <f t="shared" si="4"/>
        <v>3</v>
      </c>
      <c r="U47" s="152">
        <f>J14+L17+L21+L25+J30+L32+J38</f>
        <v>4</v>
      </c>
      <c r="V47" s="152">
        <f>L14+J17+J21+J25+L30+J32+L38</f>
        <v>4</v>
      </c>
      <c r="W47" s="152">
        <f>Q14+R17+R21+R25+Q30+R32+Q38</f>
        <v>10</v>
      </c>
      <c r="X47" s="129">
        <f t="shared" si="1"/>
        <v>4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76184-4A1D-4E31-8F9D-FFAD60BCDF6C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0</v>
      </c>
      <c r="K11" s="110" t="s">
        <v>294</v>
      </c>
      <c r="L11" s="111">
        <v>1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0</v>
      </c>
      <c r="K19" s="124" t="s">
        <v>294</v>
      </c>
      <c r="L19" s="125">
        <v>1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>
        <v>0</v>
      </c>
      <c r="K23" s="124" t="s">
        <v>294</v>
      </c>
      <c r="L23" s="125">
        <v>0</v>
      </c>
      <c r="M23" s="126" t="str">
        <f>Scheids!$F$20</f>
        <v>Iris Klein Bog</v>
      </c>
      <c r="N23" s="127"/>
      <c r="O23" s="128"/>
      <c r="Q23" s="129">
        <v>2</v>
      </c>
      <c r="R23" s="129">
        <v>2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>
        <v>0</v>
      </c>
      <c r="K24" s="124" t="s">
        <v>294</v>
      </c>
      <c r="L24" s="125">
        <v>2</v>
      </c>
      <c r="M24" s="126" t="str">
        <f>Scheids!$F$20</f>
        <v>Iris Klein Bog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>
        <v>0</v>
      </c>
      <c r="K25" s="124" t="s">
        <v>294</v>
      </c>
      <c r="L25" s="125">
        <v>1</v>
      </c>
      <c r="M25" s="126" t="str">
        <f>Scheids!$F$20</f>
        <v>Iris Klein Bog</v>
      </c>
      <c r="N25" s="127"/>
      <c r="O25" s="128"/>
      <c r="Q25" s="129">
        <v>2</v>
      </c>
      <c r="R25" s="129">
        <v>2</v>
      </c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>
        <v>0</v>
      </c>
      <c r="K27" s="124" t="s">
        <v>294</v>
      </c>
      <c r="L27" s="125">
        <v>1</v>
      </c>
      <c r="M27" s="126" t="str">
        <f>Scheids!$D$20</f>
        <v>Bas Kers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>
        <v>0</v>
      </c>
      <c r="K29" s="124" t="s">
        <v>294</v>
      </c>
      <c r="L29" s="125">
        <v>1</v>
      </c>
      <c r="M29" s="126" t="str">
        <f>Scheids!$D$20</f>
        <v>Bas Kers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>
        <v>3</v>
      </c>
      <c r="K30" s="124" t="s">
        <v>294</v>
      </c>
      <c r="L30" s="125">
        <v>0</v>
      </c>
      <c r="M30" s="126" t="str">
        <f>Scheids!$D$20</f>
        <v>Bas Kers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>
        <v>0</v>
      </c>
      <c r="K32" s="124" t="s">
        <v>294</v>
      </c>
      <c r="L32" s="125">
        <v>3</v>
      </c>
      <c r="M32" s="126" t="str">
        <f>Scheids!$F$20</f>
        <v>Iris Klein Bog</v>
      </c>
      <c r="N32" s="127"/>
      <c r="O32" s="128"/>
      <c r="Q32" s="129">
        <v>2</v>
      </c>
      <c r="R32" s="129">
        <v>2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>
        <v>1</v>
      </c>
      <c r="K33" s="124" t="s">
        <v>294</v>
      </c>
      <c r="L33" s="125">
        <v>0</v>
      </c>
      <c r="M33" s="126" t="str">
        <f>Scheids!$F$20</f>
        <v>Iris Klein Bog</v>
      </c>
      <c r="N33" s="127"/>
      <c r="O33" s="128"/>
      <c r="Q33" s="129">
        <v>2</v>
      </c>
      <c r="R33" s="129">
        <v>2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>
        <v>2</v>
      </c>
      <c r="K34" s="124" t="s">
        <v>294</v>
      </c>
      <c r="L34" s="125">
        <v>0</v>
      </c>
      <c r="M34" s="126" t="str">
        <f>Scheids!$F$20</f>
        <v>Iris Klein Bog</v>
      </c>
      <c r="N34" s="127"/>
      <c r="O34" s="128"/>
      <c r="Q34" s="129">
        <v>2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>
        <v>0</v>
      </c>
      <c r="K36" s="124" t="s">
        <v>294</v>
      </c>
      <c r="L36" s="125">
        <v>3</v>
      </c>
      <c r="M36" s="126" t="str">
        <f>Scheids!$D$20</f>
        <v>Bas Kers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10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2</v>
      </c>
      <c r="T41" s="152">
        <f>COUNTIFS(E41:N41,1)</f>
        <v>1</v>
      </c>
      <c r="U41" s="152">
        <f>J11+L18+J21+J23+L29+J34+L36</f>
        <v>6</v>
      </c>
      <c r="V41" s="152">
        <f>L11+J18+L21+L23+J29+L34+J36</f>
        <v>4</v>
      </c>
      <c r="W41" s="152">
        <f>Q11+R18+Q21+Q23+R29+Q34+R36</f>
        <v>12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0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12</v>
      </c>
      <c r="Q42" s="152">
        <f t="shared" si="0"/>
        <v>5</v>
      </c>
      <c r="R42" s="152">
        <f t="shared" ref="R42:R48" si="2">COUNTIFS(E42:N42,3)</f>
        <v>4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6</v>
      </c>
      <c r="V42" s="152">
        <f>J11+L15+J19+L25+L28+L33+J37</f>
        <v>1</v>
      </c>
      <c r="W42" s="152">
        <f>R11+Q15+R19+Q25+Q28+Q33+R37</f>
        <v>10</v>
      </c>
      <c r="X42" s="129">
        <f t="shared" si="1"/>
        <v>2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6</v>
      </c>
      <c r="R43" s="152">
        <f t="shared" si="2"/>
        <v>1</v>
      </c>
      <c r="S43" s="152">
        <f t="shared" si="3"/>
        <v>3</v>
      </c>
      <c r="T43" s="152">
        <f t="shared" si="4"/>
        <v>2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12</v>
      </c>
      <c r="X43" s="129">
        <f t="shared" si="1"/>
        <v>6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5</v>
      </c>
      <c r="R44" s="152">
        <f t="shared" si="2"/>
        <v>2</v>
      </c>
      <c r="S44" s="152">
        <f t="shared" si="3"/>
        <v>2</v>
      </c>
      <c r="T44" s="152">
        <f t="shared" si="4"/>
        <v>1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10</v>
      </c>
      <c r="X44" s="129">
        <f t="shared" si="1"/>
        <v>4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5</v>
      </c>
      <c r="R45" s="152">
        <f t="shared" si="2"/>
        <v>0</v>
      </c>
      <c r="S45" s="152">
        <f t="shared" si="3"/>
        <v>5</v>
      </c>
      <c r="T45" s="152">
        <f t="shared" si="4"/>
        <v>0</v>
      </c>
      <c r="U45" s="152">
        <f>J13+L16+L20+J26+L30+L34+J37</f>
        <v>0</v>
      </c>
      <c r="V45" s="152">
        <f>L13+J16+J20+L26+J30+J34+L37</f>
        <v>9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2"/>
        <v>2</v>
      </c>
      <c r="S46" s="152">
        <f t="shared" si="3"/>
        <v>4</v>
      </c>
      <c r="T46" s="152">
        <f t="shared" si="4"/>
        <v>0</v>
      </c>
      <c r="U46" s="152">
        <f>L13+J17+J22+J24+L27+L33+J36</f>
        <v>2</v>
      </c>
      <c r="V46" s="152">
        <f>J13+L17+L22+L24+J27+J33+L36</f>
        <v>11</v>
      </c>
      <c r="W46" s="152">
        <f>R13+Q17+Q22+Q24+R27+R33+Q36</f>
        <v>12</v>
      </c>
      <c r="X46" s="129">
        <f t="shared" si="1"/>
        <v>5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3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15</v>
      </c>
      <c r="Q47" s="152">
        <f t="shared" si="0"/>
        <v>5</v>
      </c>
      <c r="R47" s="152">
        <f t="shared" si="2"/>
        <v>5</v>
      </c>
      <c r="S47" s="152">
        <f t="shared" si="3"/>
        <v>0</v>
      </c>
      <c r="T47" s="152">
        <f t="shared" si="4"/>
        <v>0</v>
      </c>
      <c r="U47" s="152">
        <f>J14+L17+L21+L25+J30+L32+J38</f>
        <v>15</v>
      </c>
      <c r="V47" s="152">
        <f>L14+J17+J21+J25+L30+J32+L38</f>
        <v>0</v>
      </c>
      <c r="W47" s="152">
        <f>Q14+R17+R21+R25+Q30+R32+Q38</f>
        <v>10</v>
      </c>
      <c r="X47" s="129">
        <f t="shared" si="1"/>
        <v>1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B0989-B7AF-4CA8-8DB0-472ECB9FC6E6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A415-5737-48A4-A30F-F60CB1C2E6DA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6970-5772-4623-A1A1-7F8E6B683B94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3D1C6-C8FF-4265-9182-3EC87B9A3BB8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52B98-262A-424F-A89A-53AD2F23937B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C46B-ACD7-4551-A66E-6F4A856320FC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C3CB5-A2B9-4240-ABFF-B7D72B6F1CEC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9F9B-E1A0-421A-AD73-4D9E80627767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168C8-47A0-4C21-8D5B-9ABEA550324B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4E266-8A48-416D-B864-91A56C77CF1F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2361E-786C-4A90-B2DB-2B9A6D38BEEC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3516-796C-4D6C-84E3-EEF927A6F793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CE2D5-17CB-4405-B0E9-C2A95B64C993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41DD-BA0D-4292-98A0-7FD825B35AA7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2026-04-15T14:42:38Z</cp:lastPrinted>
  <dcterms:created xsi:type="dcterms:W3CDTF">2026-04-15T14:42:17Z</dcterms:created>
  <dcterms:modified xsi:type="dcterms:W3CDTF">2026-04-15T14:42:40Z</dcterms:modified>
</cp:coreProperties>
</file>