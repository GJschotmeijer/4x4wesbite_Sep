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49EAF326-B244-4E1E-AB4E-B5DA705474DC}" xr6:coauthVersionLast="47" xr6:coauthVersionMax="47" xr10:uidLastSave="{00000000-0000-0000-0000-000000000000}"/>
  <bookViews>
    <workbookView xWindow="-108" yWindow="-108" windowWidth="16608" windowHeight="8712" xr2:uid="{8F7A3AAA-0F7B-44F7-ADAD-1C5840491301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O47" i="30" s="1" a="1"/>
  <c r="O47" i="30" s="1"/>
  <c r="A47" i="30"/>
  <c r="W46" i="30"/>
  <c r="V46" i="30"/>
  <c r="U46" i="30"/>
  <c r="N46" i="30"/>
  <c r="M46" i="30"/>
  <c r="K46" i="30"/>
  <c r="I46" i="30"/>
  <c r="S46" i="30" s="1"/>
  <c r="H46" i="30"/>
  <c r="F46" i="30"/>
  <c r="E46" i="30"/>
  <c r="A46" i="30"/>
  <c r="W45" i="30"/>
  <c r="V45" i="30"/>
  <c r="U45" i="30"/>
  <c r="O45" i="30" a="1"/>
  <c r="O45" i="30" s="1"/>
  <c r="N45" i="30"/>
  <c r="M45" i="30"/>
  <c r="K45" i="30"/>
  <c r="I45" i="30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S43" i="30" s="1"/>
  <c r="E43" i="30"/>
  <c r="A43" i="30"/>
  <c r="E27" i="30" s="1"/>
  <c r="W42" i="30"/>
  <c r="V42" i="30"/>
  <c r="U42" i="30"/>
  <c r="N42" i="30"/>
  <c r="M42" i="30"/>
  <c r="K42" i="30"/>
  <c r="I42" i="30"/>
  <c r="H42" i="30"/>
  <c r="F42" i="30"/>
  <c r="T42" i="30" s="1"/>
  <c r="E42" i="30"/>
  <c r="A42" i="30"/>
  <c r="H37" i="30" s="1"/>
  <c r="W41" i="30"/>
  <c r="V41" i="30"/>
  <c r="U41" i="30"/>
  <c r="N41" i="30"/>
  <c r="M41" i="30"/>
  <c r="K41" i="30"/>
  <c r="I41" i="30"/>
  <c r="H41" i="30"/>
  <c r="F41" i="30"/>
  <c r="E41" i="30"/>
  <c r="O41" i="30" s="1" a="1"/>
  <c r="O41" i="30" s="1"/>
  <c r="A41" i="30"/>
  <c r="H29" i="30" s="1"/>
  <c r="M38" i="30"/>
  <c r="H38" i="30"/>
  <c r="E38" i="30"/>
  <c r="M37" i="30"/>
  <c r="M36" i="30"/>
  <c r="E36" i="30"/>
  <c r="M34" i="30"/>
  <c r="M33" i="30"/>
  <c r="H33" i="30"/>
  <c r="E33" i="30"/>
  <c r="M32" i="30"/>
  <c r="H32" i="30"/>
  <c r="E32" i="30"/>
  <c r="M30" i="30"/>
  <c r="E30" i="30"/>
  <c r="M29" i="30"/>
  <c r="E29" i="30"/>
  <c r="M27" i="30"/>
  <c r="H27" i="30"/>
  <c r="M25" i="30"/>
  <c r="H25" i="30"/>
  <c r="M24" i="30"/>
  <c r="H24" i="30"/>
  <c r="E24" i="30"/>
  <c r="M23" i="30"/>
  <c r="M21" i="30"/>
  <c r="H21" i="30"/>
  <c r="M20" i="30"/>
  <c r="M19" i="30"/>
  <c r="E19" i="30"/>
  <c r="M17" i="30"/>
  <c r="H17" i="30"/>
  <c r="E17" i="30"/>
  <c r="M16" i="30"/>
  <c r="M15" i="30"/>
  <c r="E15" i="30"/>
  <c r="M13" i="30"/>
  <c r="H13" i="30"/>
  <c r="M12" i="30"/>
  <c r="H12" i="30"/>
  <c r="E12" i="30"/>
  <c r="M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A46" i="29"/>
  <c r="H27" i="29" s="1"/>
  <c r="W45" i="29"/>
  <c r="V45" i="29"/>
  <c r="U45" i="29"/>
  <c r="N45" i="29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W43" i="29"/>
  <c r="V43" i="29"/>
  <c r="U43" i="29"/>
  <c r="N43" i="29"/>
  <c r="M43" i="29"/>
  <c r="K43" i="29"/>
  <c r="S43" i="29" s="1"/>
  <c r="I43" i="29"/>
  <c r="H43" i="29"/>
  <c r="F43" i="29"/>
  <c r="E43" i="29"/>
  <c r="A43" i="29"/>
  <c r="E20" i="29" s="1"/>
  <c r="W42" i="29"/>
  <c r="V42" i="29"/>
  <c r="U42" i="29"/>
  <c r="N42" i="29"/>
  <c r="M42" i="29"/>
  <c r="K42" i="29"/>
  <c r="I42" i="29"/>
  <c r="H42" i="29"/>
  <c r="F42" i="29"/>
  <c r="E42" i="29"/>
  <c r="A42" i="29"/>
  <c r="W41" i="29"/>
  <c r="V41" i="29"/>
  <c r="U41" i="29"/>
  <c r="N41" i="29"/>
  <c r="M41" i="29"/>
  <c r="K41" i="29"/>
  <c r="I41" i="29"/>
  <c r="H41" i="29"/>
  <c r="F41" i="29"/>
  <c r="E41" i="29"/>
  <c r="O41" i="29" s="1" a="1"/>
  <c r="O41" i="29" s="1"/>
  <c r="A41" i="29"/>
  <c r="E34" i="29" s="1"/>
  <c r="M38" i="29"/>
  <c r="H38" i="29"/>
  <c r="E38" i="29"/>
  <c r="M37" i="29"/>
  <c r="M36" i="29"/>
  <c r="E36" i="29"/>
  <c r="M34" i="29"/>
  <c r="M33" i="29"/>
  <c r="H33" i="29"/>
  <c r="M32" i="29"/>
  <c r="H32" i="29"/>
  <c r="E32" i="29"/>
  <c r="M30" i="29"/>
  <c r="E30" i="29"/>
  <c r="M29" i="29"/>
  <c r="E29" i="29"/>
  <c r="M27" i="29"/>
  <c r="M25" i="29"/>
  <c r="H25" i="29"/>
  <c r="M24" i="29"/>
  <c r="H24" i="29"/>
  <c r="E24" i="29"/>
  <c r="M23" i="29"/>
  <c r="M21" i="29"/>
  <c r="H21" i="29"/>
  <c r="M20" i="29"/>
  <c r="M19" i="29"/>
  <c r="E19" i="29"/>
  <c r="M17" i="29"/>
  <c r="H17" i="29"/>
  <c r="E17" i="29"/>
  <c r="M16" i="29"/>
  <c r="E16" i="29"/>
  <c r="M15" i="29"/>
  <c r="M13" i="29"/>
  <c r="H13" i="29"/>
  <c r="M12" i="29"/>
  <c r="H12" i="29"/>
  <c r="E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S47" i="28"/>
  <c r="N47" i="28"/>
  <c r="M47" i="28"/>
  <c r="K47" i="28"/>
  <c r="I47" i="28"/>
  <c r="H47" i="28"/>
  <c r="F47" i="28"/>
  <c r="E47" i="28"/>
  <c r="A47" i="28"/>
  <c r="W46" i="28"/>
  <c r="V46" i="28"/>
  <c r="U46" i="28"/>
  <c r="N46" i="28"/>
  <c r="M46" i="28"/>
  <c r="K46" i="28"/>
  <c r="I46" i="28"/>
  <c r="H46" i="28"/>
  <c r="R46" i="28" s="1"/>
  <c r="F46" i="28"/>
  <c r="E46" i="28"/>
  <c r="A46" i="28"/>
  <c r="W45" i="28"/>
  <c r="V45" i="28"/>
  <c r="U45" i="28"/>
  <c r="N45" i="28"/>
  <c r="M45" i="28"/>
  <c r="K45" i="28"/>
  <c r="I45" i="28"/>
  <c r="H45" i="28"/>
  <c r="F45" i="28"/>
  <c r="O45" i="28" s="1" a="1"/>
  <c r="O45" i="28" s="1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O44" i="28" s="1" a="1"/>
  <c r="O44" i="28" s="1"/>
  <c r="E44" i="28"/>
  <c r="A44" i="28"/>
  <c r="E19" i="28" s="1"/>
  <c r="W43" i="28"/>
  <c r="V43" i="28"/>
  <c r="U43" i="28"/>
  <c r="N43" i="28"/>
  <c r="M43" i="28"/>
  <c r="K43" i="28"/>
  <c r="I43" i="28"/>
  <c r="H43" i="28"/>
  <c r="F43" i="28"/>
  <c r="E43" i="28"/>
  <c r="S43" i="28" s="1"/>
  <c r="A43" i="28"/>
  <c r="H15" i="28" s="1"/>
  <c r="W42" i="28"/>
  <c r="V42" i="28"/>
  <c r="U42" i="28"/>
  <c r="N42" i="28"/>
  <c r="M42" i="28"/>
  <c r="K42" i="28"/>
  <c r="I42" i="28"/>
  <c r="H42" i="28"/>
  <c r="F42" i="28"/>
  <c r="E42" i="28"/>
  <c r="T42" i="28" s="1"/>
  <c r="A42" i="28"/>
  <c r="H37" i="28" s="1"/>
  <c r="W41" i="28"/>
  <c r="V41" i="28"/>
  <c r="U41" i="28"/>
  <c r="N41" i="28"/>
  <c r="M41" i="28"/>
  <c r="K41" i="28"/>
  <c r="T41" i="28" s="1"/>
  <c r="I41" i="28"/>
  <c r="H41" i="28"/>
  <c r="O41" i="28" s="1" a="1"/>
  <c r="O41" i="28" s="1"/>
  <c r="F41" i="28"/>
  <c r="E41" i="28"/>
  <c r="A41" i="28"/>
  <c r="E34" i="28" s="1"/>
  <c r="M38" i="28"/>
  <c r="E38" i="28"/>
  <c r="M37" i="28"/>
  <c r="M36" i="28"/>
  <c r="E36" i="28"/>
  <c r="M34" i="28"/>
  <c r="M33" i="28"/>
  <c r="H33" i="28"/>
  <c r="M32" i="28"/>
  <c r="E32" i="28"/>
  <c r="M30" i="28"/>
  <c r="M29" i="28"/>
  <c r="M27" i="28"/>
  <c r="H27" i="28"/>
  <c r="E27" i="28"/>
  <c r="M25" i="28"/>
  <c r="E25" i="28"/>
  <c r="M24" i="28"/>
  <c r="E24" i="28"/>
  <c r="M23" i="28"/>
  <c r="H23" i="28"/>
  <c r="M21" i="28"/>
  <c r="M20" i="28"/>
  <c r="E20" i="28"/>
  <c r="M19" i="28"/>
  <c r="H19" i="28"/>
  <c r="M17" i="28"/>
  <c r="E17" i="28"/>
  <c r="M16" i="28"/>
  <c r="M15" i="28"/>
  <c r="E15" i="28"/>
  <c r="M13" i="28"/>
  <c r="H13" i="28"/>
  <c r="M12" i="28"/>
  <c r="H12" i="28"/>
  <c r="E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S47" i="27" s="1"/>
  <c r="A47" i="27"/>
  <c r="W46" i="27"/>
  <c r="V46" i="27"/>
  <c r="U46" i="27"/>
  <c r="N46" i="27"/>
  <c r="M46" i="27"/>
  <c r="K46" i="27"/>
  <c r="I46" i="27"/>
  <c r="H46" i="27"/>
  <c r="F46" i="27"/>
  <c r="E46" i="27"/>
  <c r="A46" i="27"/>
  <c r="W45" i="27"/>
  <c r="V45" i="27"/>
  <c r="U45" i="27"/>
  <c r="O45" i="27" a="1"/>
  <c r="O45" i="27" s="1"/>
  <c r="N45" i="27"/>
  <c r="M45" i="27"/>
  <c r="K45" i="27"/>
  <c r="I45" i="27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E43" i="27"/>
  <c r="A43" i="27"/>
  <c r="E27" i="27" s="1"/>
  <c r="W42" i="27"/>
  <c r="V42" i="27"/>
  <c r="U42" i="27"/>
  <c r="N42" i="27"/>
  <c r="M42" i="27"/>
  <c r="K42" i="27"/>
  <c r="I42" i="27"/>
  <c r="H42" i="27"/>
  <c r="F42" i="27"/>
  <c r="E42" i="27"/>
  <c r="T42" i="27" s="1"/>
  <c r="A42" i="27"/>
  <c r="H37" i="27" s="1"/>
  <c r="W41" i="27"/>
  <c r="V41" i="27"/>
  <c r="U41" i="27"/>
  <c r="N41" i="27"/>
  <c r="M41" i="27"/>
  <c r="K41" i="27"/>
  <c r="I41" i="27"/>
  <c r="H41" i="27"/>
  <c r="F41" i="27"/>
  <c r="E41" i="27"/>
  <c r="A41" i="27"/>
  <c r="E34" i="27" s="1"/>
  <c r="M38" i="27"/>
  <c r="H38" i="27"/>
  <c r="E38" i="27"/>
  <c r="M37" i="27"/>
  <c r="M36" i="27"/>
  <c r="E36" i="27"/>
  <c r="M34" i="27"/>
  <c r="M33" i="27"/>
  <c r="H33" i="27"/>
  <c r="M32" i="27"/>
  <c r="H32" i="27"/>
  <c r="E32" i="27"/>
  <c r="M30" i="27"/>
  <c r="E30" i="27"/>
  <c r="M29" i="27"/>
  <c r="E29" i="27"/>
  <c r="M27" i="27"/>
  <c r="H27" i="27"/>
  <c r="M25" i="27"/>
  <c r="H25" i="27"/>
  <c r="E25" i="27"/>
  <c r="M24" i="27"/>
  <c r="H24" i="27"/>
  <c r="E24" i="27"/>
  <c r="M23" i="27"/>
  <c r="M21" i="27"/>
  <c r="H21" i="27"/>
  <c r="M20" i="27"/>
  <c r="E20" i="27"/>
  <c r="M19" i="27"/>
  <c r="H19" i="27"/>
  <c r="E19" i="27"/>
  <c r="M17" i="27"/>
  <c r="H17" i="27"/>
  <c r="E17" i="27"/>
  <c r="M16" i="27"/>
  <c r="M15" i="27"/>
  <c r="H15" i="27"/>
  <c r="E15" i="27"/>
  <c r="M13" i="27"/>
  <c r="H13" i="27"/>
  <c r="M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A47" i="26"/>
  <c r="W46" i="26"/>
  <c r="V46" i="26"/>
  <c r="U46" i="26"/>
  <c r="N46" i="26"/>
  <c r="M46" i="26"/>
  <c r="K46" i="26"/>
  <c r="I46" i="26"/>
  <c r="H46" i="26"/>
  <c r="F46" i="26"/>
  <c r="Q46" i="26" s="1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O45" i="26" s="1" a="1"/>
  <c r="O45" i="26" s="1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T44" i="26" s="1"/>
  <c r="A44" i="26"/>
  <c r="E16" i="26" s="1"/>
  <c r="W43" i="26"/>
  <c r="V43" i="26"/>
  <c r="U43" i="26"/>
  <c r="N43" i="26"/>
  <c r="M43" i="26"/>
  <c r="K43" i="26"/>
  <c r="I43" i="26"/>
  <c r="S43" i="26" s="1"/>
  <c r="H43" i="26"/>
  <c r="F43" i="26"/>
  <c r="E43" i="26"/>
  <c r="A43" i="26"/>
  <c r="E27" i="26" s="1"/>
  <c r="W42" i="26"/>
  <c r="V42" i="26"/>
  <c r="U42" i="26"/>
  <c r="N42" i="26"/>
  <c r="M42" i="26"/>
  <c r="K42" i="26"/>
  <c r="I42" i="26"/>
  <c r="H42" i="26"/>
  <c r="F42" i="26"/>
  <c r="E42" i="26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O41" i="26" s="1" a="1"/>
  <c r="O41" i="26" s="1"/>
  <c r="A41" i="26"/>
  <c r="E34" i="26" s="1"/>
  <c r="M38" i="26"/>
  <c r="H38" i="26"/>
  <c r="E38" i="26"/>
  <c r="M37" i="26"/>
  <c r="M36" i="26"/>
  <c r="M34" i="26"/>
  <c r="M33" i="26"/>
  <c r="H33" i="26"/>
  <c r="M32" i="26"/>
  <c r="H32" i="26"/>
  <c r="M30" i="26"/>
  <c r="E30" i="26"/>
  <c r="M29" i="26"/>
  <c r="E29" i="26"/>
  <c r="M27" i="26"/>
  <c r="M25" i="26"/>
  <c r="H25" i="26"/>
  <c r="E25" i="26"/>
  <c r="M24" i="26"/>
  <c r="H24" i="26"/>
  <c r="M23" i="26"/>
  <c r="M21" i="26"/>
  <c r="H21" i="26"/>
  <c r="M20" i="26"/>
  <c r="E20" i="26"/>
  <c r="M19" i="26"/>
  <c r="E19" i="26"/>
  <c r="M17" i="26"/>
  <c r="H17" i="26"/>
  <c r="E17" i="26"/>
  <c r="M16" i="26"/>
  <c r="M15" i="26"/>
  <c r="H15" i="26"/>
  <c r="E15" i="26"/>
  <c r="M13" i="26"/>
  <c r="H13" i="26"/>
  <c r="M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A47" i="25"/>
  <c r="W46" i="25"/>
  <c r="V46" i="25"/>
  <c r="U46" i="25"/>
  <c r="N46" i="25"/>
  <c r="M46" i="25"/>
  <c r="K46" i="25"/>
  <c r="I46" i="25"/>
  <c r="H46" i="25"/>
  <c r="F46" i="25"/>
  <c r="O46" i="25" s="1" a="1"/>
  <c r="O46" i="25" s="1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W44" i="25"/>
  <c r="V44" i="25"/>
  <c r="U44" i="25"/>
  <c r="N44" i="25"/>
  <c r="M44" i="25"/>
  <c r="K44" i="25"/>
  <c r="I44" i="25"/>
  <c r="H44" i="25"/>
  <c r="O44" i="25" s="1" a="1"/>
  <c r="O44" i="25" s="1"/>
  <c r="F44" i="25"/>
  <c r="E44" i="25"/>
  <c r="A44" i="25"/>
  <c r="H38" i="25" s="1"/>
  <c r="W43" i="25"/>
  <c r="V43" i="25"/>
  <c r="U43" i="25"/>
  <c r="N43" i="25"/>
  <c r="M43" i="25"/>
  <c r="K43" i="25"/>
  <c r="I43" i="25"/>
  <c r="H43" i="25"/>
  <c r="F43" i="25"/>
  <c r="E43" i="25"/>
  <c r="A43" i="25"/>
  <c r="W42" i="25"/>
  <c r="V42" i="25"/>
  <c r="U42" i="25"/>
  <c r="N42" i="25"/>
  <c r="M42" i="25"/>
  <c r="K42" i="25"/>
  <c r="I42" i="25"/>
  <c r="H42" i="25"/>
  <c r="F42" i="25"/>
  <c r="E42" i="25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H29" i="25" s="1"/>
  <c r="M38" i="25"/>
  <c r="M37" i="25"/>
  <c r="E37" i="25"/>
  <c r="M36" i="25"/>
  <c r="M34" i="25"/>
  <c r="H34" i="25"/>
  <c r="M33" i="25"/>
  <c r="H33" i="25"/>
  <c r="M32" i="25"/>
  <c r="E32" i="25"/>
  <c r="M30" i="25"/>
  <c r="H30" i="25"/>
  <c r="M29" i="25"/>
  <c r="E29" i="25"/>
  <c r="M27" i="25"/>
  <c r="E27" i="25"/>
  <c r="M25" i="25"/>
  <c r="M24" i="25"/>
  <c r="H24" i="25"/>
  <c r="M23" i="25"/>
  <c r="H23" i="25"/>
  <c r="M21" i="25"/>
  <c r="M20" i="25"/>
  <c r="H20" i="25"/>
  <c r="E20" i="25"/>
  <c r="M19" i="25"/>
  <c r="E19" i="25"/>
  <c r="M17" i="25"/>
  <c r="M16" i="25"/>
  <c r="H16" i="25"/>
  <c r="E16" i="25"/>
  <c r="M15" i="25"/>
  <c r="H15" i="25"/>
  <c r="M13" i="25"/>
  <c r="E13" i="25"/>
  <c r="M12" i="25"/>
  <c r="H12" i="25"/>
  <c r="E12" i="25"/>
  <c r="M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T48" i="24" s="1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W46" i="24"/>
  <c r="V46" i="24"/>
  <c r="U46" i="24"/>
  <c r="N46" i="24"/>
  <c r="M46" i="24"/>
  <c r="K46" i="24"/>
  <c r="I46" i="24"/>
  <c r="H46" i="24"/>
  <c r="F46" i="24"/>
  <c r="E46" i="24"/>
  <c r="A46" i="24"/>
  <c r="W45" i="24"/>
  <c r="V45" i="24"/>
  <c r="U45" i="24"/>
  <c r="N45" i="24"/>
  <c r="M45" i="24"/>
  <c r="K45" i="24"/>
  <c r="I45" i="24"/>
  <c r="H45" i="24"/>
  <c r="F45" i="24"/>
  <c r="O45" i="24" s="1" a="1"/>
  <c r="O45" i="24" s="1"/>
  <c r="X45" i="24" s="1"/>
  <c r="E45" i="24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E16" i="24" s="1"/>
  <c r="W43" i="24"/>
  <c r="V43" i="24"/>
  <c r="U43" i="24"/>
  <c r="N43" i="24"/>
  <c r="M43" i="24"/>
  <c r="K43" i="24"/>
  <c r="I43" i="24"/>
  <c r="H43" i="24"/>
  <c r="F43" i="24"/>
  <c r="R43" i="24" s="1"/>
  <c r="E43" i="24"/>
  <c r="A43" i="24"/>
  <c r="E27" i="24" s="1"/>
  <c r="W42" i="24"/>
  <c r="V42" i="24"/>
  <c r="U42" i="24"/>
  <c r="N42" i="24"/>
  <c r="M42" i="24"/>
  <c r="K42" i="24"/>
  <c r="I42" i="24"/>
  <c r="H42" i="24"/>
  <c r="F42" i="24"/>
  <c r="E42" i="24"/>
  <c r="A42" i="24"/>
  <c r="H37" i="24" s="1"/>
  <c r="W41" i="24"/>
  <c r="V41" i="24"/>
  <c r="U41" i="24"/>
  <c r="N41" i="24"/>
  <c r="M41" i="24"/>
  <c r="K41" i="24"/>
  <c r="I41" i="24"/>
  <c r="H41" i="24"/>
  <c r="F41" i="24"/>
  <c r="E41" i="24"/>
  <c r="A41" i="24"/>
  <c r="E34" i="24" s="1"/>
  <c r="M38" i="24"/>
  <c r="H38" i="24"/>
  <c r="E38" i="24"/>
  <c r="M37" i="24"/>
  <c r="M36" i="24"/>
  <c r="M34" i="24"/>
  <c r="M33" i="24"/>
  <c r="M32" i="24"/>
  <c r="H32" i="24"/>
  <c r="E32" i="24"/>
  <c r="M30" i="24"/>
  <c r="E30" i="24"/>
  <c r="M29" i="24"/>
  <c r="E29" i="24"/>
  <c r="M27" i="24"/>
  <c r="M25" i="24"/>
  <c r="H25" i="24"/>
  <c r="M24" i="24"/>
  <c r="H24" i="24"/>
  <c r="M23" i="24"/>
  <c r="M21" i="24"/>
  <c r="H21" i="24"/>
  <c r="M20" i="24"/>
  <c r="M19" i="24"/>
  <c r="H19" i="24"/>
  <c r="E19" i="24"/>
  <c r="M17" i="24"/>
  <c r="H17" i="24"/>
  <c r="M16" i="24"/>
  <c r="M15" i="24"/>
  <c r="E15" i="24"/>
  <c r="M13" i="24"/>
  <c r="M12" i="24"/>
  <c r="E12" i="24"/>
  <c r="M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R47" i="23" s="1"/>
  <c r="A47" i="23"/>
  <c r="W46" i="23"/>
  <c r="V46" i="23"/>
  <c r="U46" i="23"/>
  <c r="N46" i="23"/>
  <c r="M46" i="23"/>
  <c r="K46" i="23"/>
  <c r="I46" i="23"/>
  <c r="S46" i="23" s="1"/>
  <c r="H46" i="23"/>
  <c r="F46" i="23"/>
  <c r="E46" i="23"/>
  <c r="A46" i="23"/>
  <c r="H33" i="23" s="1"/>
  <c r="W45" i="23"/>
  <c r="V45" i="23"/>
  <c r="U45" i="23"/>
  <c r="O45" i="23" a="1"/>
  <c r="O45" i="23" s="1"/>
  <c r="X45" i="23" s="1"/>
  <c r="N45" i="23"/>
  <c r="M45" i="23"/>
  <c r="K45" i="23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W43" i="23"/>
  <c r="V43" i="23"/>
  <c r="U43" i="23"/>
  <c r="N43" i="23"/>
  <c r="M43" i="23"/>
  <c r="K43" i="23"/>
  <c r="I43" i="23"/>
  <c r="H43" i="23"/>
  <c r="F43" i="23"/>
  <c r="E43" i="23"/>
  <c r="A43" i="23"/>
  <c r="W42" i="23"/>
  <c r="V42" i="23"/>
  <c r="U42" i="23"/>
  <c r="N42" i="23"/>
  <c r="M42" i="23"/>
  <c r="K42" i="23"/>
  <c r="I42" i="23"/>
  <c r="H42" i="23"/>
  <c r="F42" i="23"/>
  <c r="E42" i="23"/>
  <c r="T42" i="23" s="1"/>
  <c r="A42" i="23"/>
  <c r="H19" i="23" s="1"/>
  <c r="W41" i="23"/>
  <c r="V41" i="23"/>
  <c r="U41" i="23"/>
  <c r="N41" i="23"/>
  <c r="M41" i="23"/>
  <c r="K41" i="23"/>
  <c r="O41" i="23" s="1" a="1"/>
  <c r="O41" i="23" s="1"/>
  <c r="X41" i="23" s="1"/>
  <c r="I41" i="23"/>
  <c r="H41" i="23"/>
  <c r="F41" i="23"/>
  <c r="E41" i="23"/>
  <c r="A41" i="23"/>
  <c r="H36" i="23" s="1"/>
  <c r="M38" i="23"/>
  <c r="H38" i="23"/>
  <c r="E38" i="23"/>
  <c r="M37" i="23"/>
  <c r="M36" i="23"/>
  <c r="E36" i="23"/>
  <c r="M34" i="23"/>
  <c r="M33" i="23"/>
  <c r="M32" i="23"/>
  <c r="H32" i="23"/>
  <c r="E32" i="23"/>
  <c r="M30" i="23"/>
  <c r="E30" i="23"/>
  <c r="M29" i="23"/>
  <c r="E29" i="23"/>
  <c r="M27" i="23"/>
  <c r="H27" i="23"/>
  <c r="E27" i="23"/>
  <c r="M25" i="23"/>
  <c r="H25" i="23"/>
  <c r="E25" i="23"/>
  <c r="M24" i="23"/>
  <c r="H24" i="23"/>
  <c r="E24" i="23"/>
  <c r="M23" i="23"/>
  <c r="H23" i="23"/>
  <c r="M21" i="23"/>
  <c r="H21" i="23"/>
  <c r="M20" i="23"/>
  <c r="E20" i="23"/>
  <c r="M19" i="23"/>
  <c r="E19" i="23"/>
  <c r="M17" i="23"/>
  <c r="H17" i="23"/>
  <c r="E17" i="23"/>
  <c r="M16" i="23"/>
  <c r="E16" i="23"/>
  <c r="M15" i="23"/>
  <c r="H15" i="23"/>
  <c r="M13" i="23"/>
  <c r="H13" i="23"/>
  <c r="M12" i="23"/>
  <c r="H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Q47" i="22" s="1"/>
  <c r="E47" i="22"/>
  <c r="S47" i="22" s="1"/>
  <c r="A47" i="22"/>
  <c r="W46" i="22"/>
  <c r="V46" i="22"/>
  <c r="U46" i="22"/>
  <c r="N46" i="22"/>
  <c r="M46" i="22"/>
  <c r="K46" i="22"/>
  <c r="I46" i="22"/>
  <c r="H46" i="22"/>
  <c r="F46" i="22"/>
  <c r="E46" i="22"/>
  <c r="A46" i="22"/>
  <c r="E24" i="22" s="1"/>
  <c r="W45" i="22"/>
  <c r="V45" i="22"/>
  <c r="U45" i="22"/>
  <c r="N45" i="22"/>
  <c r="M45" i="22"/>
  <c r="K45" i="22"/>
  <c r="I45" i="22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E16" i="22" s="1"/>
  <c r="W43" i="22"/>
  <c r="V43" i="22"/>
  <c r="U43" i="22"/>
  <c r="N43" i="22"/>
  <c r="M43" i="22"/>
  <c r="K43" i="22"/>
  <c r="I43" i="22"/>
  <c r="H43" i="22"/>
  <c r="F43" i="22"/>
  <c r="E43" i="22"/>
  <c r="A43" i="22"/>
  <c r="E27" i="22" s="1"/>
  <c r="W42" i="22"/>
  <c r="V42" i="22"/>
  <c r="U42" i="22"/>
  <c r="N42" i="22"/>
  <c r="M42" i="22"/>
  <c r="K42" i="22"/>
  <c r="I42" i="22"/>
  <c r="H42" i="22"/>
  <c r="F42" i="22"/>
  <c r="Q42" i="22" s="1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O41" i="22" s="1" a="1"/>
  <c r="O41" i="22" s="1"/>
  <c r="A41" i="22"/>
  <c r="E34" i="22" s="1"/>
  <c r="M38" i="22"/>
  <c r="H38" i="22"/>
  <c r="E38" i="22"/>
  <c r="M37" i="22"/>
  <c r="M36" i="22"/>
  <c r="H36" i="22"/>
  <c r="E36" i="22"/>
  <c r="M34" i="22"/>
  <c r="M33" i="22"/>
  <c r="H33" i="22"/>
  <c r="M32" i="22"/>
  <c r="H32" i="22"/>
  <c r="E32" i="22"/>
  <c r="M30" i="22"/>
  <c r="E30" i="22"/>
  <c r="M29" i="22"/>
  <c r="M27" i="22"/>
  <c r="H27" i="22"/>
  <c r="M25" i="22"/>
  <c r="H25" i="22"/>
  <c r="E25" i="22"/>
  <c r="M24" i="22"/>
  <c r="M23" i="22"/>
  <c r="M21" i="22"/>
  <c r="H21" i="22"/>
  <c r="M20" i="22"/>
  <c r="E20" i="22"/>
  <c r="M19" i="22"/>
  <c r="M17" i="22"/>
  <c r="H17" i="22"/>
  <c r="E17" i="22"/>
  <c r="M16" i="22"/>
  <c r="M15" i="22"/>
  <c r="H15" i="22"/>
  <c r="E15" i="22"/>
  <c r="M13" i="22"/>
  <c r="M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T48" i="21" s="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E30" i="21" s="1"/>
  <c r="W46" i="21"/>
  <c r="V46" i="21"/>
  <c r="U46" i="21"/>
  <c r="N46" i="21"/>
  <c r="M46" i="21"/>
  <c r="K46" i="21"/>
  <c r="I46" i="21"/>
  <c r="H46" i="21"/>
  <c r="F46" i="21"/>
  <c r="E46" i="21"/>
  <c r="A46" i="21"/>
  <c r="E36" i="21" s="1"/>
  <c r="W45" i="21"/>
  <c r="V45" i="21"/>
  <c r="U45" i="21"/>
  <c r="N45" i="21"/>
  <c r="M45" i="21"/>
  <c r="K45" i="21"/>
  <c r="I45" i="21"/>
  <c r="H45" i="21"/>
  <c r="F45" i="21"/>
  <c r="E45" i="21"/>
  <c r="A45" i="21"/>
  <c r="E37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Q43" i="21" s="1"/>
  <c r="E43" i="21"/>
  <c r="A43" i="21"/>
  <c r="H23" i="21" s="1"/>
  <c r="W42" i="21"/>
  <c r="V42" i="21"/>
  <c r="U42" i="21"/>
  <c r="N42" i="21"/>
  <c r="M42" i="21"/>
  <c r="K42" i="21"/>
  <c r="I42" i="21"/>
  <c r="H42" i="21"/>
  <c r="F42" i="21"/>
  <c r="E42" i="21"/>
  <c r="O42" i="21" s="1" a="1"/>
  <c r="O42" i="21" s="1"/>
  <c r="A42" i="21"/>
  <c r="H19" i="21" s="1"/>
  <c r="W41" i="21"/>
  <c r="V41" i="21"/>
  <c r="U41" i="21"/>
  <c r="N41" i="21"/>
  <c r="M41" i="21"/>
  <c r="K41" i="21"/>
  <c r="I41" i="21"/>
  <c r="H41" i="21"/>
  <c r="F41" i="21"/>
  <c r="E41" i="21"/>
  <c r="T41" i="21" s="1"/>
  <c r="A41" i="21"/>
  <c r="H29" i="21" s="1"/>
  <c r="M38" i="21"/>
  <c r="H38" i="21"/>
  <c r="M37" i="21"/>
  <c r="M36" i="21"/>
  <c r="H36" i="21"/>
  <c r="M34" i="21"/>
  <c r="H34" i="21"/>
  <c r="M33" i="21"/>
  <c r="H33" i="21"/>
  <c r="M32" i="21"/>
  <c r="E32" i="21"/>
  <c r="M30" i="21"/>
  <c r="H30" i="21"/>
  <c r="M29" i="21"/>
  <c r="E29" i="21"/>
  <c r="M27" i="21"/>
  <c r="M25" i="21"/>
  <c r="H25" i="21"/>
  <c r="E25" i="21"/>
  <c r="M24" i="21"/>
  <c r="H24" i="21"/>
  <c r="M23" i="21"/>
  <c r="M21" i="21"/>
  <c r="H21" i="21"/>
  <c r="M20" i="21"/>
  <c r="H20" i="21"/>
  <c r="E20" i="21"/>
  <c r="M19" i="21"/>
  <c r="E19" i="21"/>
  <c r="M17" i="21"/>
  <c r="H17" i="21"/>
  <c r="M16" i="21"/>
  <c r="H16" i="21"/>
  <c r="E16" i="21"/>
  <c r="M15" i="21"/>
  <c r="H15" i="21"/>
  <c r="E15" i="21"/>
  <c r="M13" i="21"/>
  <c r="E13" i="21"/>
  <c r="M12" i="21"/>
  <c r="H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O45" i="20" a="1"/>
  <c r="O45" i="20" s="1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E29" i="20" s="1"/>
  <c r="W43" i="20"/>
  <c r="V43" i="20"/>
  <c r="U43" i="20"/>
  <c r="S43" i="20"/>
  <c r="N43" i="20"/>
  <c r="M43" i="20"/>
  <c r="K43" i="20"/>
  <c r="I43" i="20"/>
  <c r="H43" i="20"/>
  <c r="F43" i="20"/>
  <c r="E43" i="20"/>
  <c r="A43" i="20"/>
  <c r="W42" i="20"/>
  <c r="V42" i="20"/>
  <c r="U42" i="20"/>
  <c r="N42" i="20"/>
  <c r="M42" i="20"/>
  <c r="K42" i="20"/>
  <c r="I42" i="20"/>
  <c r="H42" i="20"/>
  <c r="F42" i="20"/>
  <c r="E42" i="20"/>
  <c r="A42" i="20"/>
  <c r="H19" i="20" s="1"/>
  <c r="W41" i="20"/>
  <c r="V41" i="20"/>
  <c r="U41" i="20"/>
  <c r="N41" i="20"/>
  <c r="M41" i="20"/>
  <c r="K41" i="20"/>
  <c r="I41" i="20"/>
  <c r="H41" i="20"/>
  <c r="F41" i="20"/>
  <c r="E41" i="20"/>
  <c r="A41" i="20"/>
  <c r="H36" i="20" s="1"/>
  <c r="M38" i="20"/>
  <c r="H38" i="20"/>
  <c r="E38" i="20"/>
  <c r="M37" i="20"/>
  <c r="M36" i="20"/>
  <c r="E36" i="20"/>
  <c r="M34" i="20"/>
  <c r="M33" i="20"/>
  <c r="H33" i="20"/>
  <c r="M32" i="20"/>
  <c r="H32" i="20"/>
  <c r="M30" i="20"/>
  <c r="E30" i="20"/>
  <c r="M29" i="20"/>
  <c r="M27" i="20"/>
  <c r="H27" i="20"/>
  <c r="M25" i="20"/>
  <c r="H25" i="20"/>
  <c r="E25" i="20"/>
  <c r="M24" i="20"/>
  <c r="H24" i="20"/>
  <c r="E24" i="20"/>
  <c r="M23" i="20"/>
  <c r="M21" i="20"/>
  <c r="H21" i="20"/>
  <c r="M20" i="20"/>
  <c r="M19" i="20"/>
  <c r="E19" i="20"/>
  <c r="M17" i="20"/>
  <c r="H17" i="20"/>
  <c r="E17" i="20"/>
  <c r="M16" i="20"/>
  <c r="E16" i="20"/>
  <c r="M15" i="20"/>
  <c r="E15" i="20"/>
  <c r="M13" i="20"/>
  <c r="H13" i="20"/>
  <c r="M12" i="20"/>
  <c r="H12" i="20"/>
  <c r="M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Q47" i="19" s="1"/>
  <c r="E47" i="19"/>
  <c r="S47" i="19" s="1"/>
  <c r="A47" i="19"/>
  <c r="W46" i="19"/>
  <c r="V46" i="19"/>
  <c r="U46" i="19"/>
  <c r="N46" i="19"/>
  <c r="M46" i="19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S45" i="19" s="1"/>
  <c r="E45" i="19"/>
  <c r="O45" i="19" s="1" a="1"/>
  <c r="O45" i="19" s="1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N43" i="19"/>
  <c r="M43" i="19"/>
  <c r="K43" i="19"/>
  <c r="I43" i="19"/>
  <c r="H43" i="19"/>
  <c r="F43" i="19"/>
  <c r="E43" i="19"/>
  <c r="A43" i="19"/>
  <c r="W42" i="19"/>
  <c r="V42" i="19"/>
  <c r="U42" i="19"/>
  <c r="N42" i="19"/>
  <c r="M42" i="19"/>
  <c r="K42" i="19"/>
  <c r="I42" i="19"/>
  <c r="H42" i="19"/>
  <c r="F42" i="19"/>
  <c r="E42" i="19"/>
  <c r="A42" i="19"/>
  <c r="H19" i="19" s="1"/>
  <c r="W41" i="19"/>
  <c r="V41" i="19"/>
  <c r="U41" i="19"/>
  <c r="N41" i="19"/>
  <c r="M41" i="19"/>
  <c r="K41" i="19"/>
  <c r="I41" i="19"/>
  <c r="H41" i="19"/>
  <c r="F41" i="19"/>
  <c r="O41" i="19" s="1" a="1"/>
  <c r="O41" i="19" s="1"/>
  <c r="E41" i="19"/>
  <c r="A41" i="19"/>
  <c r="H36" i="19" s="1"/>
  <c r="M38" i="19"/>
  <c r="E38" i="19"/>
  <c r="M37" i="19"/>
  <c r="M36" i="19"/>
  <c r="M34" i="19"/>
  <c r="M33" i="19"/>
  <c r="M32" i="19"/>
  <c r="H32" i="19"/>
  <c r="M30" i="19"/>
  <c r="E30" i="19"/>
  <c r="M29" i="19"/>
  <c r="M27" i="19"/>
  <c r="M25" i="19"/>
  <c r="H25" i="19"/>
  <c r="E25" i="19"/>
  <c r="M24" i="19"/>
  <c r="H24" i="19"/>
  <c r="M23" i="19"/>
  <c r="M21" i="19"/>
  <c r="H21" i="19"/>
  <c r="M20" i="19"/>
  <c r="M19" i="19"/>
  <c r="M17" i="19"/>
  <c r="H17" i="19"/>
  <c r="M16" i="19"/>
  <c r="M15" i="19"/>
  <c r="E15" i="19"/>
  <c r="M13" i="19"/>
  <c r="H13" i="19"/>
  <c r="M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W46" i="18"/>
  <c r="V46" i="18"/>
  <c r="U46" i="18"/>
  <c r="N46" i="18"/>
  <c r="M46" i="18"/>
  <c r="K46" i="18"/>
  <c r="I46" i="18"/>
  <c r="H46" i="18"/>
  <c r="F46" i="18"/>
  <c r="E46" i="18"/>
  <c r="A46" i="18"/>
  <c r="E36" i="18" s="1"/>
  <c r="W45" i="18"/>
  <c r="V45" i="18"/>
  <c r="U45" i="18"/>
  <c r="N45" i="18"/>
  <c r="M45" i="18"/>
  <c r="K45" i="18"/>
  <c r="I45" i="18"/>
  <c r="H45" i="18"/>
  <c r="O45" i="18" s="1" a="1"/>
  <c r="O45" i="18" s="1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E16" i="18" s="1"/>
  <c r="W43" i="18"/>
  <c r="V43" i="18"/>
  <c r="U43" i="18"/>
  <c r="N43" i="18"/>
  <c r="M43" i="18"/>
  <c r="K43" i="18"/>
  <c r="I43" i="18"/>
  <c r="H43" i="18"/>
  <c r="F43" i="18"/>
  <c r="E43" i="18"/>
  <c r="R43" i="18" s="1"/>
  <c r="A43" i="18"/>
  <c r="E27" i="18" s="1"/>
  <c r="W42" i="18"/>
  <c r="V42" i="18"/>
  <c r="U42" i="18"/>
  <c r="N42" i="18"/>
  <c r="M42" i="18"/>
  <c r="K42" i="18"/>
  <c r="I42" i="18"/>
  <c r="S42" i="18" s="1"/>
  <c r="H42" i="18"/>
  <c r="F42" i="18"/>
  <c r="E42" i="18"/>
  <c r="A42" i="18"/>
  <c r="H19" i="18" s="1"/>
  <c r="W41" i="18"/>
  <c r="V41" i="18"/>
  <c r="U41" i="18"/>
  <c r="O41" i="18" a="1"/>
  <c r="O41" i="18" s="1"/>
  <c r="N41" i="18"/>
  <c r="M41" i="18"/>
  <c r="K41" i="18"/>
  <c r="I41" i="18"/>
  <c r="H41" i="18"/>
  <c r="F41" i="18"/>
  <c r="E41" i="18"/>
  <c r="A41" i="18"/>
  <c r="E34" i="18" s="1"/>
  <c r="M38" i="18"/>
  <c r="H38" i="18"/>
  <c r="E38" i="18"/>
  <c r="M37" i="18"/>
  <c r="M36" i="18"/>
  <c r="M34" i="18"/>
  <c r="M33" i="18"/>
  <c r="H33" i="18"/>
  <c r="M32" i="18"/>
  <c r="H32" i="18"/>
  <c r="E32" i="18"/>
  <c r="M30" i="18"/>
  <c r="E30" i="18"/>
  <c r="M29" i="18"/>
  <c r="E29" i="18"/>
  <c r="M27" i="18"/>
  <c r="H27" i="18"/>
  <c r="M25" i="18"/>
  <c r="H25" i="18"/>
  <c r="E25" i="18"/>
  <c r="M24" i="18"/>
  <c r="H24" i="18"/>
  <c r="M23" i="18"/>
  <c r="M21" i="18"/>
  <c r="H21" i="18"/>
  <c r="M20" i="18"/>
  <c r="E20" i="18"/>
  <c r="M19" i="18"/>
  <c r="E19" i="18"/>
  <c r="M17" i="18"/>
  <c r="H17" i="18"/>
  <c r="E17" i="18"/>
  <c r="M16" i="18"/>
  <c r="M15" i="18"/>
  <c r="H15" i="18"/>
  <c r="E15" i="18"/>
  <c r="M13" i="18"/>
  <c r="H13" i="18"/>
  <c r="M12" i="18"/>
  <c r="E12" i="18"/>
  <c r="M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O48" i="17" s="1" a="1"/>
  <c r="O48" i="17" s="1"/>
  <c r="X48" i="17" s="1"/>
  <c r="A48" i="17"/>
  <c r="W47" i="17"/>
  <c r="V47" i="17"/>
  <c r="U47" i="17"/>
  <c r="N47" i="17"/>
  <c r="M47" i="17"/>
  <c r="K47" i="17"/>
  <c r="S47" i="17" s="1"/>
  <c r="I47" i="17"/>
  <c r="H47" i="17"/>
  <c r="F47" i="17"/>
  <c r="E47" i="17"/>
  <c r="A47" i="17"/>
  <c r="H25" i="17" s="1"/>
  <c r="W46" i="17"/>
  <c r="V46" i="17"/>
  <c r="U46" i="17"/>
  <c r="N46" i="17"/>
  <c r="M46" i="17"/>
  <c r="K46" i="17"/>
  <c r="I46" i="17"/>
  <c r="H46" i="17"/>
  <c r="F46" i="17"/>
  <c r="E46" i="17"/>
  <c r="A46" i="17"/>
  <c r="W45" i="17"/>
  <c r="V45" i="17"/>
  <c r="U45" i="17"/>
  <c r="N45" i="17"/>
  <c r="M45" i="17"/>
  <c r="K45" i="17"/>
  <c r="I45" i="17"/>
  <c r="H45" i="17"/>
  <c r="F45" i="17"/>
  <c r="E45" i="17"/>
  <c r="O45" i="17" s="1" a="1"/>
  <c r="O45" i="17" s="1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W43" i="17"/>
  <c r="V43" i="17"/>
  <c r="U43" i="17"/>
  <c r="N43" i="17"/>
  <c r="M43" i="17"/>
  <c r="K43" i="17"/>
  <c r="I43" i="17"/>
  <c r="H43" i="17"/>
  <c r="F43" i="17"/>
  <c r="R43" i="17" s="1"/>
  <c r="E43" i="17"/>
  <c r="A43" i="17"/>
  <c r="W42" i="17"/>
  <c r="V42" i="17"/>
  <c r="U42" i="17"/>
  <c r="N42" i="17"/>
  <c r="M42" i="17"/>
  <c r="K42" i="17"/>
  <c r="I42" i="17"/>
  <c r="H42" i="17"/>
  <c r="F42" i="17"/>
  <c r="E42" i="17"/>
  <c r="A42" i="17"/>
  <c r="H19" i="17" s="1"/>
  <c r="W41" i="17"/>
  <c r="V41" i="17"/>
  <c r="U41" i="17"/>
  <c r="N41" i="17"/>
  <c r="M41" i="17"/>
  <c r="K41" i="17"/>
  <c r="I41" i="17"/>
  <c r="H41" i="17"/>
  <c r="F41" i="17"/>
  <c r="E41" i="17"/>
  <c r="A41" i="17"/>
  <c r="E11" i="17" s="1"/>
  <c r="M38" i="17"/>
  <c r="H38" i="17"/>
  <c r="E38" i="17"/>
  <c r="M37" i="17"/>
  <c r="M36" i="17"/>
  <c r="M34" i="17"/>
  <c r="M33" i="17"/>
  <c r="M32" i="17"/>
  <c r="H32" i="17"/>
  <c r="E32" i="17"/>
  <c r="M30" i="17"/>
  <c r="E30" i="17"/>
  <c r="M29" i="17"/>
  <c r="E29" i="17"/>
  <c r="M27" i="17"/>
  <c r="E27" i="17"/>
  <c r="M25" i="17"/>
  <c r="M24" i="17"/>
  <c r="H24" i="17"/>
  <c r="M23" i="17"/>
  <c r="H23" i="17"/>
  <c r="M21" i="17"/>
  <c r="H21" i="17"/>
  <c r="M20" i="17"/>
  <c r="E20" i="17"/>
  <c r="M19" i="17"/>
  <c r="E19" i="17"/>
  <c r="M17" i="17"/>
  <c r="H17" i="17"/>
  <c r="M16" i="17"/>
  <c r="E16" i="17"/>
  <c r="M15" i="17"/>
  <c r="H15" i="17"/>
  <c r="M13" i="17"/>
  <c r="M12" i="17"/>
  <c r="H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R47" i="16" s="1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E24" i="16" s="1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W43" i="16"/>
  <c r="V43" i="16"/>
  <c r="U43" i="16"/>
  <c r="S43" i="16"/>
  <c r="N43" i="16"/>
  <c r="M43" i="16"/>
  <c r="K43" i="16"/>
  <c r="I43" i="16"/>
  <c r="H43" i="16"/>
  <c r="F43" i="16"/>
  <c r="E43" i="16"/>
  <c r="A43" i="16"/>
  <c r="W42" i="16"/>
  <c r="V42" i="16"/>
  <c r="U42" i="16"/>
  <c r="N42" i="16"/>
  <c r="M42" i="16"/>
  <c r="K42" i="16"/>
  <c r="I42" i="16"/>
  <c r="H42" i="16"/>
  <c r="F42" i="16"/>
  <c r="E42" i="16"/>
  <c r="A42" i="16"/>
  <c r="H37" i="16" s="1"/>
  <c r="W41" i="16"/>
  <c r="V41" i="16"/>
  <c r="U41" i="16"/>
  <c r="N41" i="16"/>
  <c r="M41" i="16"/>
  <c r="K41" i="16"/>
  <c r="I41" i="16"/>
  <c r="H41" i="16"/>
  <c r="F41" i="16"/>
  <c r="E41" i="16"/>
  <c r="A41" i="16"/>
  <c r="H36" i="16" s="1"/>
  <c r="M38" i="16"/>
  <c r="H38" i="16"/>
  <c r="E38" i="16"/>
  <c r="M37" i="16"/>
  <c r="M36" i="16"/>
  <c r="E36" i="16"/>
  <c r="M34" i="16"/>
  <c r="M33" i="16"/>
  <c r="H33" i="16"/>
  <c r="M32" i="16"/>
  <c r="H32" i="16"/>
  <c r="M30" i="16"/>
  <c r="E30" i="16"/>
  <c r="M29" i="16"/>
  <c r="E29" i="16"/>
  <c r="M27" i="16"/>
  <c r="H27" i="16"/>
  <c r="M25" i="16"/>
  <c r="H25" i="16"/>
  <c r="E25" i="16"/>
  <c r="M24" i="16"/>
  <c r="H24" i="16"/>
  <c r="M23" i="16"/>
  <c r="M21" i="16"/>
  <c r="H21" i="16"/>
  <c r="M20" i="16"/>
  <c r="M19" i="16"/>
  <c r="E19" i="16"/>
  <c r="M17" i="16"/>
  <c r="H17" i="16"/>
  <c r="E17" i="16"/>
  <c r="M16" i="16"/>
  <c r="E16" i="16"/>
  <c r="M15" i="16"/>
  <c r="M13" i="16"/>
  <c r="H13" i="16"/>
  <c r="M12" i="16"/>
  <c r="H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E47" i="15"/>
  <c r="A47" i="15"/>
  <c r="W46" i="15"/>
  <c r="V46" i="15"/>
  <c r="U46" i="15"/>
  <c r="N46" i="15"/>
  <c r="M46" i="15"/>
  <c r="K46" i="15"/>
  <c r="I46" i="15"/>
  <c r="H46" i="15"/>
  <c r="F46" i="15"/>
  <c r="Q46" i="15" s="1"/>
  <c r="E46" i="15"/>
  <c r="A46" i="15"/>
  <c r="W45" i="15"/>
  <c r="V45" i="15"/>
  <c r="U45" i="15"/>
  <c r="N45" i="15"/>
  <c r="M45" i="15"/>
  <c r="K45" i="15"/>
  <c r="I45" i="15"/>
  <c r="H45" i="15"/>
  <c r="F45" i="15"/>
  <c r="E45" i="15"/>
  <c r="O45" i="15" s="1" a="1"/>
  <c r="O45" i="15" s="1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E29" i="15" s="1"/>
  <c r="W43" i="15"/>
  <c r="V43" i="15"/>
  <c r="U43" i="15"/>
  <c r="N43" i="15"/>
  <c r="M43" i="15"/>
  <c r="K43" i="15"/>
  <c r="I43" i="15"/>
  <c r="S43" i="15" s="1"/>
  <c r="H43" i="15"/>
  <c r="F43" i="15"/>
  <c r="E43" i="15"/>
  <c r="A43" i="15"/>
  <c r="E32" i="15" s="1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N41" i="15"/>
  <c r="M41" i="15"/>
  <c r="K41" i="15"/>
  <c r="I41" i="15"/>
  <c r="H41" i="15"/>
  <c r="F41" i="15"/>
  <c r="E41" i="15"/>
  <c r="A41" i="15"/>
  <c r="E34" i="15" s="1"/>
  <c r="M38" i="15"/>
  <c r="H38" i="15"/>
  <c r="E38" i="15"/>
  <c r="M37" i="15"/>
  <c r="M36" i="15"/>
  <c r="E36" i="15"/>
  <c r="M34" i="15"/>
  <c r="M33" i="15"/>
  <c r="H33" i="15"/>
  <c r="M32" i="15"/>
  <c r="H32" i="15"/>
  <c r="M30" i="15"/>
  <c r="E30" i="15"/>
  <c r="M29" i="15"/>
  <c r="M27" i="15"/>
  <c r="H27" i="15"/>
  <c r="M25" i="15"/>
  <c r="H25" i="15"/>
  <c r="E25" i="15"/>
  <c r="M24" i="15"/>
  <c r="H24" i="15"/>
  <c r="E24" i="15"/>
  <c r="M23" i="15"/>
  <c r="M21" i="15"/>
  <c r="H21" i="15"/>
  <c r="M20" i="15"/>
  <c r="E20" i="15"/>
  <c r="M19" i="15"/>
  <c r="H19" i="15"/>
  <c r="M17" i="15"/>
  <c r="H17" i="15"/>
  <c r="E17" i="15"/>
  <c r="M16" i="15"/>
  <c r="M15" i="15"/>
  <c r="H15" i="15"/>
  <c r="E15" i="15"/>
  <c r="M13" i="15"/>
  <c r="H13" i="15"/>
  <c r="M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E47" i="14"/>
  <c r="S47" i="14" s="1"/>
  <c r="A47" i="14"/>
  <c r="W46" i="14"/>
  <c r="V46" i="14"/>
  <c r="U46" i="14"/>
  <c r="N46" i="14"/>
  <c r="M46" i="14"/>
  <c r="K46" i="14"/>
  <c r="I46" i="14"/>
  <c r="H46" i="14"/>
  <c r="F46" i="14"/>
  <c r="E46" i="14"/>
  <c r="A46" i="14"/>
  <c r="W45" i="14"/>
  <c r="V45" i="14"/>
  <c r="U45" i="14"/>
  <c r="N45" i="14"/>
  <c r="M45" i="14"/>
  <c r="K45" i="14"/>
  <c r="I45" i="14"/>
  <c r="H45" i="14"/>
  <c r="O45" i="14" s="1" a="1"/>
  <c r="O45" i="14" s="1"/>
  <c r="F45" i="14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E44" i="14"/>
  <c r="A44" i="14"/>
  <c r="E16" i="14" s="1"/>
  <c r="W43" i="14"/>
  <c r="V43" i="14"/>
  <c r="U43" i="14"/>
  <c r="N43" i="14"/>
  <c r="M43" i="14"/>
  <c r="K43" i="14"/>
  <c r="I43" i="14"/>
  <c r="H43" i="14"/>
  <c r="F43" i="14"/>
  <c r="E43" i="14"/>
  <c r="R43" i="14" s="1"/>
  <c r="A43" i="14"/>
  <c r="E20" i="14" s="1"/>
  <c r="W42" i="14"/>
  <c r="V42" i="14"/>
  <c r="U42" i="14"/>
  <c r="N42" i="14"/>
  <c r="M42" i="14"/>
  <c r="K42" i="14"/>
  <c r="I42" i="14"/>
  <c r="S42" i="14" s="1"/>
  <c r="H42" i="14"/>
  <c r="F42" i="14"/>
  <c r="E42" i="14"/>
  <c r="A42" i="14"/>
  <c r="E28" i="14" s="1"/>
  <c r="W41" i="14"/>
  <c r="V41" i="14"/>
  <c r="U41" i="14"/>
  <c r="O41" i="14" a="1"/>
  <c r="O41" i="14" s="1"/>
  <c r="N41" i="14"/>
  <c r="M41" i="14"/>
  <c r="K41" i="14"/>
  <c r="I41" i="14"/>
  <c r="H41" i="14"/>
  <c r="F41" i="14"/>
  <c r="E41" i="14"/>
  <c r="A41" i="14"/>
  <c r="E23" i="14" s="1"/>
  <c r="M38" i="14"/>
  <c r="H38" i="14"/>
  <c r="E38" i="14"/>
  <c r="M37" i="14"/>
  <c r="M36" i="14"/>
  <c r="E36" i="14"/>
  <c r="M35" i="14"/>
  <c r="E35" i="14"/>
  <c r="M34" i="14"/>
  <c r="M33" i="14"/>
  <c r="H33" i="14"/>
  <c r="E33" i="14"/>
  <c r="M32" i="14"/>
  <c r="H32" i="14"/>
  <c r="M31" i="14"/>
  <c r="E31" i="14"/>
  <c r="M30" i="14"/>
  <c r="E30" i="14"/>
  <c r="M29" i="14"/>
  <c r="E29" i="14"/>
  <c r="M28" i="14"/>
  <c r="M27" i="14"/>
  <c r="H27" i="14"/>
  <c r="E27" i="14"/>
  <c r="M26" i="14"/>
  <c r="M25" i="14"/>
  <c r="H25" i="14"/>
  <c r="E25" i="14"/>
  <c r="M24" i="14"/>
  <c r="H24" i="14"/>
  <c r="E24" i="14"/>
  <c r="M23" i="14"/>
  <c r="M22" i="14"/>
  <c r="E22" i="14"/>
  <c r="M21" i="14"/>
  <c r="H21" i="14"/>
  <c r="M20" i="14"/>
  <c r="H20" i="14"/>
  <c r="M19" i="14"/>
  <c r="E19" i="14"/>
  <c r="M18" i="14"/>
  <c r="M17" i="14"/>
  <c r="H17" i="14"/>
  <c r="E17" i="14"/>
  <c r="M16" i="14"/>
  <c r="M15" i="14"/>
  <c r="H15" i="14"/>
  <c r="E15" i="14"/>
  <c r="M14" i="14"/>
  <c r="E14" i="14"/>
  <c r="M13" i="14"/>
  <c r="H13" i="14"/>
  <c r="M12" i="14"/>
  <c r="H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S48" i="13" s="1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E47" i="13"/>
  <c r="A47" i="13"/>
  <c r="W46" i="13"/>
  <c r="V46" i="13"/>
  <c r="U46" i="13"/>
  <c r="N46" i="13"/>
  <c r="M46" i="13"/>
  <c r="K46" i="13"/>
  <c r="I46" i="13"/>
  <c r="H46" i="13"/>
  <c r="O46" i="13" s="1" a="1"/>
  <c r="O46" i="13" s="1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F45" i="13"/>
  <c r="E45" i="13"/>
  <c r="A45" i="13"/>
  <c r="W44" i="13"/>
  <c r="V44" i="13"/>
  <c r="U44" i="13"/>
  <c r="N44" i="13"/>
  <c r="M44" i="13"/>
  <c r="K44" i="13"/>
  <c r="I44" i="13"/>
  <c r="H44" i="13"/>
  <c r="F44" i="13"/>
  <c r="Q44" i="13" s="1"/>
  <c r="E44" i="13"/>
  <c r="S44" i="13" s="1"/>
  <c r="A44" i="13"/>
  <c r="H31" i="13" s="1"/>
  <c r="W43" i="13"/>
  <c r="V43" i="13"/>
  <c r="U43" i="13"/>
  <c r="N43" i="13"/>
  <c r="M43" i="13"/>
  <c r="K43" i="13"/>
  <c r="I43" i="13"/>
  <c r="H43" i="13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A42" i="13"/>
  <c r="E28" i="13" s="1"/>
  <c r="W41" i="13"/>
  <c r="V41" i="13"/>
  <c r="U41" i="13"/>
  <c r="N41" i="13"/>
  <c r="M41" i="13"/>
  <c r="K41" i="13"/>
  <c r="I41" i="13"/>
  <c r="H41" i="13"/>
  <c r="F41" i="13"/>
  <c r="E41" i="13"/>
  <c r="A41" i="13"/>
  <c r="H29" i="13" s="1"/>
  <c r="M38" i="13"/>
  <c r="H38" i="13"/>
  <c r="E38" i="13"/>
  <c r="M37" i="13"/>
  <c r="E37" i="13"/>
  <c r="M36" i="13"/>
  <c r="H36" i="13"/>
  <c r="M35" i="13"/>
  <c r="E35" i="13"/>
  <c r="M34" i="13"/>
  <c r="H34" i="13"/>
  <c r="M33" i="13"/>
  <c r="M32" i="13"/>
  <c r="H32" i="13"/>
  <c r="M31" i="13"/>
  <c r="E31" i="13"/>
  <c r="M30" i="13"/>
  <c r="H30" i="13"/>
  <c r="E30" i="13"/>
  <c r="M29" i="13"/>
  <c r="E29" i="13"/>
  <c r="M28" i="13"/>
  <c r="H28" i="13"/>
  <c r="M27" i="13"/>
  <c r="E27" i="13"/>
  <c r="M26" i="13"/>
  <c r="H26" i="13"/>
  <c r="E26" i="13"/>
  <c r="M25" i="13"/>
  <c r="H25" i="13"/>
  <c r="M24" i="13"/>
  <c r="H24" i="13"/>
  <c r="M23" i="13"/>
  <c r="E23" i="13"/>
  <c r="M22" i="13"/>
  <c r="H22" i="13"/>
  <c r="M21" i="13"/>
  <c r="H21" i="13"/>
  <c r="E21" i="13"/>
  <c r="M20" i="13"/>
  <c r="H20" i="13"/>
  <c r="E20" i="13"/>
  <c r="M19" i="13"/>
  <c r="E19" i="13"/>
  <c r="M18" i="13"/>
  <c r="H18" i="13"/>
  <c r="E18" i="13"/>
  <c r="M17" i="13"/>
  <c r="H17" i="13"/>
  <c r="M16" i="13"/>
  <c r="H16" i="13"/>
  <c r="E16" i="13"/>
  <c r="M15" i="13"/>
  <c r="H15" i="13"/>
  <c r="M14" i="13"/>
  <c r="H14" i="13"/>
  <c r="E14" i="13"/>
  <c r="M13" i="13"/>
  <c r="E13" i="13"/>
  <c r="M12" i="13"/>
  <c r="H12" i="13"/>
  <c r="E12" i="13"/>
  <c r="M11" i="13"/>
  <c r="E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A47" i="12"/>
  <c r="W46" i="12"/>
  <c r="V46" i="12"/>
  <c r="U46" i="12"/>
  <c r="N46" i="12"/>
  <c r="M46" i="12"/>
  <c r="K46" i="12"/>
  <c r="I46" i="12"/>
  <c r="H46" i="12"/>
  <c r="F46" i="12"/>
  <c r="E46" i="12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A45" i="12"/>
  <c r="W44" i="12"/>
  <c r="V44" i="12"/>
  <c r="U44" i="12"/>
  <c r="N44" i="12"/>
  <c r="M44" i="12"/>
  <c r="K44" i="12"/>
  <c r="I44" i="12"/>
  <c r="H44" i="12"/>
  <c r="F44" i="12"/>
  <c r="E44" i="12"/>
  <c r="A44" i="12"/>
  <c r="W43" i="12"/>
  <c r="V43" i="12"/>
  <c r="U43" i="12"/>
  <c r="N43" i="12"/>
  <c r="M43" i="12"/>
  <c r="K43" i="12"/>
  <c r="I43" i="12"/>
  <c r="H43" i="12"/>
  <c r="F43" i="12"/>
  <c r="E43" i="12"/>
  <c r="A43" i="12"/>
  <c r="E20" i="12" s="1"/>
  <c r="W42" i="12"/>
  <c r="V42" i="12"/>
  <c r="U42" i="12"/>
  <c r="N42" i="12"/>
  <c r="M42" i="12"/>
  <c r="K42" i="12"/>
  <c r="I42" i="12"/>
  <c r="H42" i="12"/>
  <c r="F42" i="12"/>
  <c r="E42" i="12"/>
  <c r="A42" i="12"/>
  <c r="E28" i="12" s="1"/>
  <c r="W41" i="12"/>
  <c r="V41" i="12"/>
  <c r="U41" i="12"/>
  <c r="N41" i="12"/>
  <c r="M41" i="12"/>
  <c r="K41" i="12"/>
  <c r="I41" i="12"/>
  <c r="H41" i="12"/>
  <c r="F41" i="12"/>
  <c r="S41" i="12" s="1"/>
  <c r="E41" i="12"/>
  <c r="A41" i="12"/>
  <c r="H29" i="12" s="1"/>
  <c r="M38" i="12"/>
  <c r="E38" i="12"/>
  <c r="M37" i="12"/>
  <c r="M36" i="12"/>
  <c r="H36" i="12"/>
  <c r="M35" i="12"/>
  <c r="E35" i="12"/>
  <c r="M34" i="12"/>
  <c r="M33" i="12"/>
  <c r="M32" i="12"/>
  <c r="H32" i="12"/>
  <c r="M31" i="12"/>
  <c r="E31" i="12"/>
  <c r="M30" i="12"/>
  <c r="E30" i="12"/>
  <c r="M29" i="12"/>
  <c r="M28" i="12"/>
  <c r="H28" i="12"/>
  <c r="M27" i="12"/>
  <c r="E27" i="12"/>
  <c r="M26" i="12"/>
  <c r="H26" i="12"/>
  <c r="M25" i="12"/>
  <c r="H25" i="12"/>
  <c r="M24" i="12"/>
  <c r="M23" i="12"/>
  <c r="H23" i="12"/>
  <c r="E23" i="12"/>
  <c r="M22" i="12"/>
  <c r="H22" i="12"/>
  <c r="M21" i="12"/>
  <c r="H21" i="12"/>
  <c r="E21" i="12"/>
  <c r="M20" i="12"/>
  <c r="M19" i="12"/>
  <c r="M18" i="12"/>
  <c r="H18" i="12"/>
  <c r="E18" i="12"/>
  <c r="M17" i="12"/>
  <c r="H17" i="12"/>
  <c r="M16" i="12"/>
  <c r="M15" i="12"/>
  <c r="H15" i="12"/>
  <c r="M14" i="12"/>
  <c r="H14" i="12"/>
  <c r="E14" i="12"/>
  <c r="M13" i="12"/>
  <c r="M12" i="12"/>
  <c r="M11" i="12"/>
  <c r="E11" i="12"/>
  <c r="N8" i="12"/>
  <c r="K8" i="12"/>
  <c r="E8" i="12"/>
  <c r="A8" i="12"/>
  <c r="W48" i="11"/>
  <c r="V48" i="11"/>
  <c r="U48" i="11"/>
  <c r="S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Q45" i="11" s="1"/>
  <c r="E45" i="11"/>
  <c r="A45" i="11"/>
  <c r="W44" i="11"/>
  <c r="V44" i="11"/>
  <c r="U44" i="11"/>
  <c r="N44" i="11"/>
  <c r="M44" i="11"/>
  <c r="K44" i="11"/>
  <c r="I44" i="11"/>
  <c r="H44" i="11"/>
  <c r="F44" i="11"/>
  <c r="E44" i="11"/>
  <c r="A44" i="11"/>
  <c r="E16" i="11" s="1"/>
  <c r="W43" i="11"/>
  <c r="V43" i="11"/>
  <c r="U43" i="11"/>
  <c r="N43" i="11"/>
  <c r="M43" i="11"/>
  <c r="K43" i="11"/>
  <c r="I43" i="11"/>
  <c r="H43" i="11"/>
  <c r="F43" i="11"/>
  <c r="E43" i="11"/>
  <c r="R43" i="11" s="1"/>
  <c r="A43" i="11"/>
  <c r="E20" i="11" s="1"/>
  <c r="W42" i="11"/>
  <c r="V42" i="11"/>
  <c r="U42" i="11"/>
  <c r="N42" i="11"/>
  <c r="M42" i="11"/>
  <c r="K42" i="11"/>
  <c r="O42" i="11" s="1" a="1"/>
  <c r="O42" i="11" s="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A41" i="11"/>
  <c r="M38" i="11"/>
  <c r="H38" i="11"/>
  <c r="E38" i="11"/>
  <c r="M37" i="11"/>
  <c r="E37" i="11"/>
  <c r="M36" i="11"/>
  <c r="M35" i="11"/>
  <c r="M34" i="11"/>
  <c r="H34" i="11"/>
  <c r="M33" i="11"/>
  <c r="M32" i="11"/>
  <c r="H32" i="11"/>
  <c r="M31" i="11"/>
  <c r="M30" i="11"/>
  <c r="H30" i="11"/>
  <c r="E30" i="11"/>
  <c r="M29" i="11"/>
  <c r="E29" i="11"/>
  <c r="M28" i="11"/>
  <c r="M27" i="11"/>
  <c r="E27" i="11"/>
  <c r="M26" i="11"/>
  <c r="E26" i="11"/>
  <c r="M25" i="11"/>
  <c r="H25" i="11"/>
  <c r="M24" i="11"/>
  <c r="H24" i="11"/>
  <c r="M23" i="11"/>
  <c r="M22" i="11"/>
  <c r="M21" i="11"/>
  <c r="H21" i="11"/>
  <c r="M20" i="11"/>
  <c r="H20" i="11"/>
  <c r="M19" i="11"/>
  <c r="E19" i="11"/>
  <c r="M18" i="11"/>
  <c r="H18" i="11"/>
  <c r="M17" i="11"/>
  <c r="H17" i="11"/>
  <c r="M16" i="11"/>
  <c r="H16" i="11"/>
  <c r="M15" i="11"/>
  <c r="M14" i="11"/>
  <c r="E14" i="11"/>
  <c r="M13" i="11"/>
  <c r="E13" i="11"/>
  <c r="M12" i="11"/>
  <c r="H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R47" i="10" s="1"/>
  <c r="A47" i="10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O45" i="10" a="1"/>
  <c r="O45" i="10" s="1"/>
  <c r="N45" i="10"/>
  <c r="M45" i="10"/>
  <c r="K45" i="10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H38" i="10" s="1"/>
  <c r="W43" i="10"/>
  <c r="V43" i="10"/>
  <c r="U43" i="10"/>
  <c r="N43" i="10"/>
  <c r="M43" i="10"/>
  <c r="K43" i="10"/>
  <c r="I43" i="10"/>
  <c r="H43" i="10"/>
  <c r="F43" i="10"/>
  <c r="E43" i="10"/>
  <c r="A43" i="10"/>
  <c r="W42" i="10"/>
  <c r="V42" i="10"/>
  <c r="U42" i="10"/>
  <c r="N42" i="10"/>
  <c r="M42" i="10"/>
  <c r="K42" i="10"/>
  <c r="I42" i="10"/>
  <c r="H42" i="10"/>
  <c r="F42" i="10"/>
  <c r="E42" i="10"/>
  <c r="Q42" i="10" s="1"/>
  <c r="A42" i="10"/>
  <c r="H19" i="10" s="1"/>
  <c r="W41" i="10"/>
  <c r="V41" i="10"/>
  <c r="U41" i="10"/>
  <c r="N41" i="10"/>
  <c r="M41" i="10"/>
  <c r="K41" i="10"/>
  <c r="O41" i="10" s="1" a="1"/>
  <c r="O41" i="10" s="1"/>
  <c r="I41" i="10"/>
  <c r="H41" i="10"/>
  <c r="F41" i="10"/>
  <c r="E41" i="10"/>
  <c r="A41" i="10"/>
  <c r="E11" i="10" s="1"/>
  <c r="M38" i="10"/>
  <c r="E38" i="10"/>
  <c r="M37" i="10"/>
  <c r="M36" i="10"/>
  <c r="M34" i="10"/>
  <c r="M33" i="10"/>
  <c r="H33" i="10"/>
  <c r="E33" i="10"/>
  <c r="M32" i="10"/>
  <c r="H32" i="10"/>
  <c r="E32" i="10"/>
  <c r="M30" i="10"/>
  <c r="E30" i="10"/>
  <c r="M29" i="10"/>
  <c r="E29" i="10"/>
  <c r="M27" i="10"/>
  <c r="E27" i="10"/>
  <c r="M25" i="10"/>
  <c r="H25" i="10"/>
  <c r="E25" i="10"/>
  <c r="M24" i="10"/>
  <c r="H24" i="10"/>
  <c r="M23" i="10"/>
  <c r="H23" i="10"/>
  <c r="M21" i="10"/>
  <c r="H21" i="10"/>
  <c r="M20" i="10"/>
  <c r="E20" i="10"/>
  <c r="M19" i="10"/>
  <c r="E19" i="10"/>
  <c r="M17" i="10"/>
  <c r="H17" i="10"/>
  <c r="E17" i="10"/>
  <c r="M16" i="10"/>
  <c r="E16" i="10"/>
  <c r="M15" i="10"/>
  <c r="H15" i="10"/>
  <c r="E15" i="10"/>
  <c r="M13" i="10"/>
  <c r="H13" i="10"/>
  <c r="M12" i="10"/>
  <c r="H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O48" i="9" s="1" a="1"/>
  <c r="O48" i="9" s="1"/>
  <c r="X48" i="9" s="1"/>
  <c r="A48" i="9"/>
  <c r="W47" i="9"/>
  <c r="V47" i="9"/>
  <c r="U47" i="9"/>
  <c r="N47" i="9"/>
  <c r="M47" i="9"/>
  <c r="K47" i="9"/>
  <c r="S47" i="9" s="1"/>
  <c r="I47" i="9"/>
  <c r="H47" i="9"/>
  <c r="F47" i="9"/>
  <c r="E47" i="9"/>
  <c r="A47" i="9"/>
  <c r="E38" i="9" s="1"/>
  <c r="W46" i="9"/>
  <c r="V46" i="9"/>
  <c r="U46" i="9"/>
  <c r="N46" i="9"/>
  <c r="M46" i="9"/>
  <c r="K46" i="9"/>
  <c r="I46" i="9"/>
  <c r="H46" i="9"/>
  <c r="F46" i="9"/>
  <c r="S46" i="9" s="1"/>
  <c r="E46" i="9"/>
  <c r="A46" i="9"/>
  <c r="H33" i="9" s="1"/>
  <c r="W45" i="9"/>
  <c r="V45" i="9"/>
  <c r="U45" i="9"/>
  <c r="N45" i="9"/>
  <c r="M45" i="9"/>
  <c r="K45" i="9"/>
  <c r="I45" i="9"/>
  <c r="H45" i="9"/>
  <c r="F45" i="9"/>
  <c r="O45" i="9" s="1" a="1"/>
  <c r="O45" i="9" s="1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W43" i="9"/>
  <c r="V43" i="9"/>
  <c r="U43" i="9"/>
  <c r="N43" i="9"/>
  <c r="M43" i="9"/>
  <c r="K43" i="9"/>
  <c r="I43" i="9"/>
  <c r="H43" i="9"/>
  <c r="F43" i="9"/>
  <c r="Q43" i="9" s="1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A42" i="9"/>
  <c r="H37" i="9" s="1"/>
  <c r="W41" i="9"/>
  <c r="V41" i="9"/>
  <c r="U41" i="9"/>
  <c r="N41" i="9"/>
  <c r="M41" i="9"/>
  <c r="K41" i="9"/>
  <c r="I41" i="9"/>
  <c r="H41" i="9"/>
  <c r="F41" i="9"/>
  <c r="E41" i="9"/>
  <c r="T41" i="9" s="1"/>
  <c r="A41" i="9"/>
  <c r="H36" i="9" s="1"/>
  <c r="M38" i="9"/>
  <c r="H38" i="9"/>
  <c r="M37" i="9"/>
  <c r="M36" i="9"/>
  <c r="M34" i="9"/>
  <c r="M33" i="9"/>
  <c r="M32" i="9"/>
  <c r="H32" i="9"/>
  <c r="E32" i="9"/>
  <c r="M30" i="9"/>
  <c r="E30" i="9"/>
  <c r="M29" i="9"/>
  <c r="E29" i="9"/>
  <c r="M27" i="9"/>
  <c r="M25" i="9"/>
  <c r="H25" i="9"/>
  <c r="M24" i="9"/>
  <c r="H24" i="9"/>
  <c r="M23" i="9"/>
  <c r="M21" i="9"/>
  <c r="H21" i="9"/>
  <c r="M20" i="9"/>
  <c r="M19" i="9"/>
  <c r="E19" i="9"/>
  <c r="M17" i="9"/>
  <c r="M16" i="9"/>
  <c r="E16" i="9"/>
  <c r="M15" i="9"/>
  <c r="M13" i="9"/>
  <c r="M12" i="9"/>
  <c r="H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S47" i="8" s="1"/>
  <c r="A47" i="8"/>
  <c r="W46" i="8"/>
  <c r="V46" i="8"/>
  <c r="U46" i="8"/>
  <c r="N46" i="8"/>
  <c r="M46" i="8"/>
  <c r="K46" i="8"/>
  <c r="I46" i="8"/>
  <c r="H46" i="8"/>
  <c r="F46" i="8"/>
  <c r="E46" i="8"/>
  <c r="A46" i="8"/>
  <c r="H27" i="8" s="1"/>
  <c r="W45" i="8"/>
  <c r="V45" i="8"/>
  <c r="U45" i="8"/>
  <c r="N45" i="8"/>
  <c r="M45" i="8"/>
  <c r="K45" i="8"/>
  <c r="I45" i="8"/>
  <c r="H45" i="8"/>
  <c r="F45" i="8"/>
  <c r="S45" i="8" s="1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E16" i="8" s="1"/>
  <c r="W43" i="8"/>
  <c r="V43" i="8"/>
  <c r="U43" i="8"/>
  <c r="N43" i="8"/>
  <c r="M43" i="8"/>
  <c r="K43" i="8"/>
  <c r="I43" i="8"/>
  <c r="H43" i="8"/>
  <c r="F43" i="8"/>
  <c r="Q43" i="8" s="1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A42" i="8"/>
  <c r="H37" i="8" s="1"/>
  <c r="W41" i="8"/>
  <c r="V41" i="8"/>
  <c r="U41" i="8"/>
  <c r="N41" i="8"/>
  <c r="M41" i="8"/>
  <c r="K41" i="8"/>
  <c r="I41" i="8"/>
  <c r="H41" i="8"/>
  <c r="F41" i="8"/>
  <c r="E41" i="8"/>
  <c r="O41" i="8" s="1" a="1"/>
  <c r="O41" i="8" s="1"/>
  <c r="A41" i="8"/>
  <c r="H36" i="8" s="1"/>
  <c r="M38" i="8"/>
  <c r="E38" i="8"/>
  <c r="M37" i="8"/>
  <c r="M36" i="8"/>
  <c r="M34" i="8"/>
  <c r="M33" i="8"/>
  <c r="H33" i="8"/>
  <c r="M32" i="8"/>
  <c r="H32" i="8"/>
  <c r="M30" i="8"/>
  <c r="E30" i="8"/>
  <c r="M29" i="8"/>
  <c r="M27" i="8"/>
  <c r="M25" i="8"/>
  <c r="H25" i="8"/>
  <c r="E25" i="8"/>
  <c r="M24" i="8"/>
  <c r="H24" i="8"/>
  <c r="M23" i="8"/>
  <c r="M21" i="8"/>
  <c r="H21" i="8"/>
  <c r="M20" i="8"/>
  <c r="M19" i="8"/>
  <c r="H19" i="8"/>
  <c r="M17" i="8"/>
  <c r="H17" i="8"/>
  <c r="M16" i="8"/>
  <c r="M15" i="8"/>
  <c r="E15" i="8"/>
  <c r="M13" i="8"/>
  <c r="M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O48" i="7" s="1" a="1"/>
  <c r="O48" i="7" s="1"/>
  <c r="E48" i="7"/>
  <c r="A48" i="7"/>
  <c r="E35" i="7" s="1"/>
  <c r="W47" i="7"/>
  <c r="V47" i="7"/>
  <c r="U47" i="7"/>
  <c r="N47" i="7"/>
  <c r="M47" i="7"/>
  <c r="S47" i="7" s="1"/>
  <c r="K47" i="7"/>
  <c r="I47" i="7"/>
  <c r="H47" i="7"/>
  <c r="F47" i="7"/>
  <c r="E47" i="7"/>
  <c r="A47" i="7"/>
  <c r="E38" i="7" s="1"/>
  <c r="W46" i="7"/>
  <c r="V46" i="7"/>
  <c r="U46" i="7"/>
  <c r="N46" i="7"/>
  <c r="M46" i="7"/>
  <c r="K46" i="7"/>
  <c r="I46" i="7"/>
  <c r="H46" i="7"/>
  <c r="F46" i="7"/>
  <c r="E46" i="7"/>
  <c r="T46" i="7" s="1"/>
  <c r="A46" i="7"/>
  <c r="W45" i="7"/>
  <c r="V45" i="7"/>
  <c r="U45" i="7"/>
  <c r="N45" i="7"/>
  <c r="M45" i="7"/>
  <c r="K45" i="7"/>
  <c r="O45" i="7" s="1" a="1"/>
  <c r="O45" i="7" s="1"/>
  <c r="I45" i="7"/>
  <c r="H45" i="7"/>
  <c r="F45" i="7"/>
  <c r="E45" i="7"/>
  <c r="A45" i="7"/>
  <c r="H30" i="7" s="1"/>
  <c r="W44" i="7"/>
  <c r="V44" i="7"/>
  <c r="U44" i="7"/>
  <c r="N44" i="7"/>
  <c r="M44" i="7"/>
  <c r="K44" i="7"/>
  <c r="I44" i="7"/>
  <c r="H44" i="7"/>
  <c r="F44" i="7"/>
  <c r="O44" i="7" s="1" a="1"/>
  <c r="O44" i="7" s="1"/>
  <c r="E44" i="7"/>
  <c r="A44" i="7"/>
  <c r="H31" i="7" s="1"/>
  <c r="W43" i="7"/>
  <c r="V43" i="7"/>
  <c r="U43" i="7"/>
  <c r="N43" i="7"/>
  <c r="M43" i="7"/>
  <c r="K43" i="7"/>
  <c r="I43" i="7"/>
  <c r="H43" i="7"/>
  <c r="F43" i="7"/>
  <c r="E43" i="7"/>
  <c r="A43" i="7"/>
  <c r="E20" i="7" s="1"/>
  <c r="W42" i="7"/>
  <c r="V42" i="7"/>
  <c r="U42" i="7"/>
  <c r="N42" i="7"/>
  <c r="M42" i="7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S41" i="7" s="1"/>
  <c r="E41" i="7"/>
  <c r="A41" i="7"/>
  <c r="E11" i="7" s="1"/>
  <c r="M38" i="7"/>
  <c r="M37" i="7"/>
  <c r="M36" i="7"/>
  <c r="E36" i="7"/>
  <c r="M35" i="7"/>
  <c r="M34" i="7"/>
  <c r="M33" i="7"/>
  <c r="H33" i="7"/>
  <c r="M32" i="7"/>
  <c r="M31" i="7"/>
  <c r="M30" i="7"/>
  <c r="M29" i="7"/>
  <c r="M28" i="7"/>
  <c r="M27" i="7"/>
  <c r="H27" i="7"/>
  <c r="E27" i="7"/>
  <c r="M26" i="7"/>
  <c r="H26" i="7"/>
  <c r="M25" i="7"/>
  <c r="M24" i="7"/>
  <c r="E24" i="7"/>
  <c r="M23" i="7"/>
  <c r="M22" i="7"/>
  <c r="H22" i="7"/>
  <c r="E22" i="7"/>
  <c r="M21" i="7"/>
  <c r="M20" i="7"/>
  <c r="M19" i="7"/>
  <c r="M18" i="7"/>
  <c r="E18" i="7"/>
  <c r="M17" i="7"/>
  <c r="E17" i="7"/>
  <c r="M16" i="7"/>
  <c r="M15" i="7"/>
  <c r="H15" i="7"/>
  <c r="M14" i="7"/>
  <c r="H14" i="7"/>
  <c r="M13" i="7"/>
  <c r="H13" i="7"/>
  <c r="M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S48" i="6" s="1"/>
  <c r="A48" i="6"/>
  <c r="W47" i="6"/>
  <c r="V47" i="6"/>
  <c r="U47" i="6"/>
  <c r="N47" i="6"/>
  <c r="M47" i="6"/>
  <c r="K47" i="6"/>
  <c r="I47" i="6"/>
  <c r="H47" i="6"/>
  <c r="F47" i="6"/>
  <c r="E47" i="6"/>
  <c r="A47" i="6"/>
  <c r="E38" i="6" s="1"/>
  <c r="W46" i="6"/>
  <c r="V46" i="6"/>
  <c r="U46" i="6"/>
  <c r="N46" i="6"/>
  <c r="M46" i="6"/>
  <c r="O46" i="6" s="1" a="1"/>
  <c r="O46" i="6" s="1"/>
  <c r="K46" i="6"/>
  <c r="I46" i="6"/>
  <c r="H46" i="6"/>
  <c r="F46" i="6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O45" i="6" s="1" a="1"/>
  <c r="O45" i="6" s="1"/>
  <c r="A45" i="6"/>
  <c r="W44" i="6"/>
  <c r="V44" i="6"/>
  <c r="U44" i="6"/>
  <c r="N44" i="6"/>
  <c r="M44" i="6"/>
  <c r="K44" i="6"/>
  <c r="I44" i="6"/>
  <c r="S44" i="6" s="1"/>
  <c r="H44" i="6"/>
  <c r="F44" i="6"/>
  <c r="E44" i="6"/>
  <c r="A44" i="6"/>
  <c r="W43" i="6"/>
  <c r="V43" i="6"/>
  <c r="U43" i="6"/>
  <c r="N43" i="6"/>
  <c r="M43" i="6"/>
  <c r="K43" i="6"/>
  <c r="I43" i="6"/>
  <c r="H43" i="6"/>
  <c r="F43" i="6"/>
  <c r="E43" i="6"/>
  <c r="A43" i="6"/>
  <c r="W42" i="6"/>
  <c r="V42" i="6"/>
  <c r="U42" i="6"/>
  <c r="N42" i="6"/>
  <c r="M42" i="6"/>
  <c r="K42" i="6"/>
  <c r="I42" i="6"/>
  <c r="H42" i="6"/>
  <c r="F42" i="6"/>
  <c r="E42" i="6"/>
  <c r="O42" i="6" s="1" a="1"/>
  <c r="O42" i="6" s="1"/>
  <c r="A42" i="6"/>
  <c r="H19" i="6" s="1"/>
  <c r="W41" i="6"/>
  <c r="V41" i="6"/>
  <c r="U41" i="6"/>
  <c r="N41" i="6"/>
  <c r="M41" i="6"/>
  <c r="K41" i="6"/>
  <c r="I41" i="6"/>
  <c r="H41" i="6"/>
  <c r="F41" i="6"/>
  <c r="E41" i="6"/>
  <c r="A41" i="6"/>
  <c r="H29" i="6" s="1"/>
  <c r="M38" i="6"/>
  <c r="H38" i="6"/>
  <c r="M37" i="6"/>
  <c r="E37" i="6"/>
  <c r="M36" i="6"/>
  <c r="M34" i="6"/>
  <c r="H34" i="6"/>
  <c r="E34" i="6"/>
  <c r="M33" i="6"/>
  <c r="M32" i="6"/>
  <c r="E32" i="6"/>
  <c r="M30" i="6"/>
  <c r="H30" i="6"/>
  <c r="E30" i="6"/>
  <c r="M29" i="6"/>
  <c r="E29" i="6"/>
  <c r="M27" i="6"/>
  <c r="E27" i="6"/>
  <c r="M25" i="6"/>
  <c r="H25" i="6"/>
  <c r="E25" i="6"/>
  <c r="M24" i="6"/>
  <c r="H24" i="6"/>
  <c r="M23" i="6"/>
  <c r="H23" i="6"/>
  <c r="M21" i="6"/>
  <c r="H21" i="6"/>
  <c r="M20" i="6"/>
  <c r="H20" i="6"/>
  <c r="E20" i="6"/>
  <c r="M19" i="6"/>
  <c r="E19" i="6"/>
  <c r="M17" i="6"/>
  <c r="H17" i="6"/>
  <c r="M16" i="6"/>
  <c r="H16" i="6"/>
  <c r="E16" i="6"/>
  <c r="M15" i="6"/>
  <c r="H15" i="6"/>
  <c r="E15" i="6"/>
  <c r="M13" i="6"/>
  <c r="E13" i="6"/>
  <c r="M12" i="6"/>
  <c r="H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O48" i="5" s="1" a="1"/>
  <c r="O48" i="5" s="1"/>
  <c r="A48" i="5"/>
  <c r="W47" i="5"/>
  <c r="V47" i="5"/>
  <c r="U47" i="5"/>
  <c r="N47" i="5"/>
  <c r="M47" i="5"/>
  <c r="K47" i="5"/>
  <c r="S47" i="5" s="1"/>
  <c r="I47" i="5"/>
  <c r="H47" i="5"/>
  <c r="F47" i="5"/>
  <c r="E47" i="5"/>
  <c r="A47" i="5"/>
  <c r="E38" i="5" s="1"/>
  <c r="W46" i="5"/>
  <c r="V46" i="5"/>
  <c r="U46" i="5"/>
  <c r="N46" i="5"/>
  <c r="M46" i="5"/>
  <c r="K46" i="5"/>
  <c r="I46" i="5"/>
  <c r="H46" i="5"/>
  <c r="F46" i="5"/>
  <c r="Q46" i="5" s="1"/>
  <c r="E46" i="5"/>
  <c r="A46" i="5"/>
  <c r="E22" i="5" s="1"/>
  <c r="W45" i="5"/>
  <c r="V45" i="5"/>
  <c r="U45" i="5"/>
  <c r="N45" i="5"/>
  <c r="M45" i="5"/>
  <c r="K45" i="5"/>
  <c r="I45" i="5"/>
  <c r="H45" i="5"/>
  <c r="F45" i="5"/>
  <c r="O45" i="5" s="1" a="1"/>
  <c r="O45" i="5" s="1"/>
  <c r="E45" i="5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E16" i="5" s="1"/>
  <c r="W43" i="5"/>
  <c r="V43" i="5"/>
  <c r="U43" i="5"/>
  <c r="N43" i="5"/>
  <c r="M43" i="5"/>
  <c r="K43" i="5"/>
  <c r="I43" i="5"/>
  <c r="H43" i="5"/>
  <c r="F43" i="5"/>
  <c r="Q43" i="5" s="1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T41" i="5" s="1"/>
  <c r="A41" i="5"/>
  <c r="H36" i="5" s="1"/>
  <c r="M38" i="5"/>
  <c r="H38" i="5"/>
  <c r="M37" i="5"/>
  <c r="M36" i="5"/>
  <c r="M35" i="5"/>
  <c r="E35" i="5"/>
  <c r="M34" i="5"/>
  <c r="M33" i="5"/>
  <c r="E33" i="5"/>
  <c r="M32" i="5"/>
  <c r="E32" i="5"/>
  <c r="M31" i="5"/>
  <c r="H31" i="5"/>
  <c r="E31" i="5"/>
  <c r="M30" i="5"/>
  <c r="E30" i="5"/>
  <c r="M29" i="5"/>
  <c r="E29" i="5"/>
  <c r="M28" i="5"/>
  <c r="H28" i="5"/>
  <c r="M27" i="5"/>
  <c r="M26" i="5"/>
  <c r="H26" i="5"/>
  <c r="M25" i="5"/>
  <c r="H25" i="5"/>
  <c r="M24" i="5"/>
  <c r="H24" i="5"/>
  <c r="M23" i="5"/>
  <c r="H23" i="5"/>
  <c r="M22" i="5"/>
  <c r="H22" i="5"/>
  <c r="M21" i="5"/>
  <c r="M20" i="5"/>
  <c r="H20" i="5"/>
  <c r="M19" i="5"/>
  <c r="E19" i="5"/>
  <c r="M18" i="5"/>
  <c r="E18" i="5"/>
  <c r="M17" i="5"/>
  <c r="H17" i="5"/>
  <c r="M16" i="5"/>
  <c r="M15" i="5"/>
  <c r="H15" i="5"/>
  <c r="M14" i="5"/>
  <c r="H14" i="5"/>
  <c r="E14" i="5"/>
  <c r="M13" i="5"/>
  <c r="M12" i="5"/>
  <c r="H12" i="5"/>
  <c r="E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O47" i="20" l="1" a="1"/>
  <c r="O47" i="20" s="1"/>
  <c r="S47" i="20"/>
  <c r="H13" i="5"/>
  <c r="E20" i="5"/>
  <c r="E23" i="5"/>
  <c r="H32" i="5"/>
  <c r="E36" i="5"/>
  <c r="T46" i="5"/>
  <c r="Q48" i="5"/>
  <c r="T45" i="6"/>
  <c r="E15" i="7"/>
  <c r="E25" i="7"/>
  <c r="H28" i="7"/>
  <c r="H32" i="7"/>
  <c r="S43" i="7"/>
  <c r="Q46" i="7"/>
  <c r="H13" i="8"/>
  <c r="E24" i="8"/>
  <c r="E29" i="8"/>
  <c r="S42" i="8"/>
  <c r="R43" i="8"/>
  <c r="E20" i="9"/>
  <c r="E25" i="9"/>
  <c r="E36" i="9"/>
  <c r="T46" i="9"/>
  <c r="Q48" i="9"/>
  <c r="O47" i="12" a="1"/>
  <c r="O47" i="12" s="1"/>
  <c r="S42" i="13"/>
  <c r="E27" i="20"/>
  <c r="H23" i="20"/>
  <c r="E32" i="20"/>
  <c r="E12" i="20"/>
  <c r="E20" i="20"/>
  <c r="H15" i="20"/>
  <c r="S44" i="25"/>
  <c r="H32" i="25"/>
  <c r="H25" i="25"/>
  <c r="H21" i="25"/>
  <c r="H17" i="25"/>
  <c r="E30" i="25"/>
  <c r="O41" i="27" a="1"/>
  <c r="O41" i="27" s="1"/>
  <c r="R43" i="6"/>
  <c r="H12" i="7"/>
  <c r="H25" i="7"/>
  <c r="T41" i="8"/>
  <c r="O48" i="8" a="1"/>
  <c r="O48" i="8" s="1"/>
  <c r="X48" i="8" s="1"/>
  <c r="T43" i="9"/>
  <c r="T42" i="10"/>
  <c r="E35" i="11"/>
  <c r="H26" i="11"/>
  <c r="H22" i="11"/>
  <c r="E18" i="11"/>
  <c r="H28" i="11"/>
  <c r="O42" i="12" a="1"/>
  <c r="O42" i="12" s="1"/>
  <c r="H30" i="12"/>
  <c r="H20" i="12"/>
  <c r="E13" i="12"/>
  <c r="E26" i="12"/>
  <c r="E37" i="12"/>
  <c r="O41" i="16" a="1"/>
  <c r="O41" i="16" s="1"/>
  <c r="O44" i="5" a="1"/>
  <c r="O44" i="5" s="1"/>
  <c r="H36" i="6"/>
  <c r="T46" i="6"/>
  <c r="T48" i="6"/>
  <c r="E19" i="7"/>
  <c r="E29" i="7"/>
  <c r="E33" i="7"/>
  <c r="T42" i="7"/>
  <c r="S46" i="7"/>
  <c r="E36" i="8"/>
  <c r="S41" i="8"/>
  <c r="T46" i="8"/>
  <c r="Q48" i="8"/>
  <c r="E17" i="9"/>
  <c r="R44" i="9"/>
  <c r="H16" i="12"/>
  <c r="Q42" i="12"/>
  <c r="E24" i="24"/>
  <c r="H33" i="24"/>
  <c r="H13" i="24"/>
  <c r="H27" i="24"/>
  <c r="E17" i="24"/>
  <c r="E36" i="24"/>
  <c r="H19" i="29"/>
  <c r="E25" i="29"/>
  <c r="H11" i="29"/>
  <c r="E15" i="29"/>
  <c r="H21" i="5"/>
  <c r="E24" i="5"/>
  <c r="E27" i="5"/>
  <c r="H33" i="5"/>
  <c r="T42" i="5"/>
  <c r="S46" i="5"/>
  <c r="R47" i="5"/>
  <c r="E23" i="6"/>
  <c r="H32" i="6"/>
  <c r="T41" i="6"/>
  <c r="Q46" i="6"/>
  <c r="E16" i="7"/>
  <c r="E23" i="7"/>
  <c r="H38" i="7"/>
  <c r="Q42" i="7"/>
  <c r="T45" i="7"/>
  <c r="R47" i="7"/>
  <c r="H15" i="8"/>
  <c r="E20" i="8"/>
  <c r="S43" i="8"/>
  <c r="T44" i="8"/>
  <c r="Q46" i="8"/>
  <c r="H17" i="9"/>
  <c r="H27" i="9"/>
  <c r="T42" i="9"/>
  <c r="R47" i="9"/>
  <c r="Q41" i="10"/>
  <c r="H29" i="11"/>
  <c r="E23" i="11"/>
  <c r="E11" i="11"/>
  <c r="H36" i="11"/>
  <c r="E21" i="11"/>
  <c r="H26" i="14"/>
  <c r="H22" i="14"/>
  <c r="E18" i="14"/>
  <c r="H28" i="14"/>
  <c r="H14" i="14"/>
  <c r="E36" i="17"/>
  <c r="H33" i="17"/>
  <c r="H13" i="17"/>
  <c r="E17" i="17"/>
  <c r="O41" i="20" a="1"/>
  <c r="O41" i="20" s="1"/>
  <c r="S42" i="25"/>
  <c r="O42" i="25" a="1"/>
  <c r="O42" i="25" s="1"/>
  <c r="H32" i="28"/>
  <c r="H17" i="28"/>
  <c r="H25" i="28"/>
  <c r="H21" i="28"/>
  <c r="E30" i="28"/>
  <c r="H27" i="5"/>
  <c r="Q42" i="5"/>
  <c r="T45" i="5"/>
  <c r="Q47" i="5"/>
  <c r="R46" i="6"/>
  <c r="H20" i="7"/>
  <c r="E30" i="7"/>
  <c r="S45" i="7"/>
  <c r="E32" i="8"/>
  <c r="O44" i="8" a="1"/>
  <c r="O44" i="8" s="1"/>
  <c r="H13" i="9"/>
  <c r="E33" i="9"/>
  <c r="S42" i="9"/>
  <c r="T45" i="9"/>
  <c r="Q47" i="9"/>
  <c r="O42" i="10" a="1"/>
  <c r="O42" i="10" s="1"/>
  <c r="S46" i="10"/>
  <c r="O46" i="11" a="1"/>
  <c r="O46" i="11" s="1"/>
  <c r="H34" i="12"/>
  <c r="E27" i="19"/>
  <c r="E20" i="19"/>
  <c r="H15" i="19"/>
  <c r="E32" i="19"/>
  <c r="E12" i="19"/>
  <c r="T46" i="21"/>
  <c r="O46" i="21" a="1"/>
  <c r="O46" i="21" s="1"/>
  <c r="T41" i="24"/>
  <c r="O41" i="24" a="1"/>
  <c r="O41" i="24" s="1"/>
  <c r="X41" i="24" s="1"/>
  <c r="E38" i="25"/>
  <c r="O45" i="29" a="1"/>
  <c r="O45" i="29" s="1"/>
  <c r="E17" i="5"/>
  <c r="O48" i="6" a="1"/>
  <c r="O48" i="6" s="1"/>
  <c r="X48" i="6" s="1"/>
  <c r="E15" i="5"/>
  <c r="H33" i="6"/>
  <c r="T42" i="6"/>
  <c r="O44" i="6" a="1"/>
  <c r="O44" i="6" s="1"/>
  <c r="E14" i="7"/>
  <c r="O41" i="7" a="1"/>
  <c r="O41" i="7" s="1"/>
  <c r="S42" i="7"/>
  <c r="T42" i="8"/>
  <c r="O45" i="8" a="1"/>
  <c r="O45" i="8" s="1"/>
  <c r="S46" i="8"/>
  <c r="R47" i="8"/>
  <c r="E24" i="9"/>
  <c r="E31" i="11"/>
  <c r="Q46" i="11"/>
  <c r="O46" i="12" a="1"/>
  <c r="O46" i="12" s="1"/>
  <c r="T42" i="13"/>
  <c r="O42" i="13" a="1"/>
  <c r="O42" i="13" s="1"/>
  <c r="T41" i="17"/>
  <c r="O41" i="17" a="1"/>
  <c r="O41" i="17" s="1"/>
  <c r="S47" i="18"/>
  <c r="Q44" i="20"/>
  <c r="T45" i="22"/>
  <c r="O45" i="22" a="1"/>
  <c r="O45" i="22" s="1"/>
  <c r="S43" i="5"/>
  <c r="E25" i="5"/>
  <c r="O41" i="5" a="1"/>
  <c r="O41" i="5" s="1"/>
  <c r="S42" i="5"/>
  <c r="R43" i="5"/>
  <c r="T47" i="5"/>
  <c r="S42" i="6"/>
  <c r="R47" i="6"/>
  <c r="H17" i="7"/>
  <c r="H21" i="7"/>
  <c r="H24" i="7"/>
  <c r="E31" i="7"/>
  <c r="T41" i="7"/>
  <c r="R43" i="7"/>
  <c r="E12" i="8"/>
  <c r="E17" i="8"/>
  <c r="H38" i="8"/>
  <c r="Q42" i="8"/>
  <c r="T45" i="8"/>
  <c r="Q47" i="8"/>
  <c r="E15" i="9"/>
  <c r="H19" i="9"/>
  <c r="O41" i="9" a="1"/>
  <c r="O41" i="9" s="1"/>
  <c r="R43" i="9"/>
  <c r="T47" i="9"/>
  <c r="H14" i="11"/>
  <c r="S44" i="11"/>
  <c r="E16" i="12"/>
  <c r="H24" i="12"/>
  <c r="H38" i="12"/>
  <c r="E19" i="12"/>
  <c r="H12" i="12"/>
  <c r="E29" i="12"/>
  <c r="Q46" i="12"/>
  <c r="O41" i="15" a="1"/>
  <c r="O41" i="15" s="1"/>
  <c r="E27" i="16"/>
  <c r="E32" i="16"/>
  <c r="E12" i="16"/>
  <c r="E20" i="16"/>
  <c r="T45" i="16"/>
  <c r="O45" i="16" a="1"/>
  <c r="O45" i="16" s="1"/>
  <c r="S48" i="25"/>
  <c r="S47" i="26"/>
  <c r="T43" i="10"/>
  <c r="O44" i="10" a="1"/>
  <c r="O44" i="10" s="1"/>
  <c r="T41" i="11"/>
  <c r="Q43" i="11"/>
  <c r="S48" i="12"/>
  <c r="Q42" i="13"/>
  <c r="S46" i="13"/>
  <c r="T41" i="14"/>
  <c r="Q43" i="14"/>
  <c r="O48" i="14" a="1"/>
  <c r="O48" i="14" s="1"/>
  <c r="E16" i="15"/>
  <c r="S41" i="15"/>
  <c r="O44" i="15" a="1"/>
  <c r="O44" i="15" s="1"/>
  <c r="T43" i="16"/>
  <c r="Q45" i="16"/>
  <c r="E25" i="17"/>
  <c r="H36" i="17"/>
  <c r="O42" i="17" a="1"/>
  <c r="O42" i="17" s="1"/>
  <c r="T46" i="17"/>
  <c r="S48" i="17"/>
  <c r="T41" i="18"/>
  <c r="Q43" i="18"/>
  <c r="O48" i="18" a="1"/>
  <c r="O48" i="18" s="1"/>
  <c r="X48" i="18" s="1"/>
  <c r="H33" i="19"/>
  <c r="R43" i="19"/>
  <c r="O46" i="19" a="1"/>
  <c r="O46" i="19" s="1"/>
  <c r="H11" i="20"/>
  <c r="T45" i="20"/>
  <c r="R47" i="20"/>
  <c r="E23" i="21"/>
  <c r="E27" i="21"/>
  <c r="H32" i="21"/>
  <c r="Q41" i="21"/>
  <c r="S46" i="21"/>
  <c r="H13" i="22"/>
  <c r="E29" i="22"/>
  <c r="R45" i="22"/>
  <c r="E15" i="23"/>
  <c r="E33" i="23"/>
  <c r="Q42" i="23"/>
  <c r="T45" i="23"/>
  <c r="Q47" i="23"/>
  <c r="H15" i="24"/>
  <c r="S41" i="24"/>
  <c r="T46" i="24"/>
  <c r="E21" i="25"/>
  <c r="E25" i="25"/>
  <c r="E34" i="25"/>
  <c r="R47" i="25"/>
  <c r="Q44" i="26"/>
  <c r="Q42" i="27"/>
  <c r="T45" i="27"/>
  <c r="R47" i="27"/>
  <c r="H38" i="28"/>
  <c r="Q42" i="28"/>
  <c r="S46" i="28"/>
  <c r="R47" i="28"/>
  <c r="H23" i="29"/>
  <c r="E27" i="29"/>
  <c r="T42" i="29"/>
  <c r="O44" i="29" a="1"/>
  <c r="O44" i="29" s="1"/>
  <c r="T45" i="30"/>
  <c r="R47" i="30"/>
  <c r="S44" i="10"/>
  <c r="T46" i="10"/>
  <c r="S41" i="11"/>
  <c r="T46" i="11"/>
  <c r="O48" i="11" a="1"/>
  <c r="O48" i="11" s="1"/>
  <c r="T42" i="12"/>
  <c r="T44" i="12"/>
  <c r="S46" i="12"/>
  <c r="O44" i="13" a="1"/>
  <c r="O44" i="13" s="1"/>
  <c r="S41" i="14"/>
  <c r="T46" i="14"/>
  <c r="T48" i="14"/>
  <c r="H12" i="15"/>
  <c r="T42" i="15"/>
  <c r="E15" i="16"/>
  <c r="H19" i="16"/>
  <c r="T41" i="16"/>
  <c r="R43" i="16"/>
  <c r="S47" i="16"/>
  <c r="O48" i="16" a="1"/>
  <c r="O48" i="16" s="1"/>
  <c r="X48" i="16" s="1"/>
  <c r="T43" i="17"/>
  <c r="S41" i="18"/>
  <c r="O42" i="18" a="1"/>
  <c r="O42" i="18" s="1"/>
  <c r="T46" i="18"/>
  <c r="S48" i="18"/>
  <c r="H12" i="19"/>
  <c r="E17" i="19"/>
  <c r="E29" i="19"/>
  <c r="T41" i="19"/>
  <c r="Q43" i="19"/>
  <c r="T41" i="20"/>
  <c r="R43" i="20"/>
  <c r="Q45" i="20"/>
  <c r="E11" i="21"/>
  <c r="S48" i="21"/>
  <c r="E19" i="22"/>
  <c r="H24" i="22"/>
  <c r="S42" i="22"/>
  <c r="R43" i="22"/>
  <c r="H11" i="23"/>
  <c r="H11" i="24"/>
  <c r="E20" i="24"/>
  <c r="E25" i="24"/>
  <c r="S43" i="24"/>
  <c r="Q46" i="24"/>
  <c r="T45" i="25"/>
  <c r="E32" i="26"/>
  <c r="T42" i="26"/>
  <c r="S46" i="26"/>
  <c r="R47" i="26"/>
  <c r="S45" i="27"/>
  <c r="H24" i="28"/>
  <c r="E29" i="28"/>
  <c r="R42" i="28"/>
  <c r="Q47" i="28"/>
  <c r="R47" i="29"/>
  <c r="H19" i="30"/>
  <c r="T45" i="13"/>
  <c r="R47" i="13"/>
  <c r="S43" i="14"/>
  <c r="Q46" i="14"/>
  <c r="Q42" i="15"/>
  <c r="T45" i="15"/>
  <c r="R47" i="15"/>
  <c r="Q41" i="16"/>
  <c r="S45" i="16"/>
  <c r="Q48" i="16"/>
  <c r="S44" i="17"/>
  <c r="S43" i="18"/>
  <c r="Q46" i="18"/>
  <c r="Q41" i="19"/>
  <c r="O42" i="19" a="1"/>
  <c r="O42" i="19" s="1"/>
  <c r="O48" i="19" a="1"/>
  <c r="O48" i="19" s="1"/>
  <c r="X48" i="19" s="1"/>
  <c r="Q41" i="20"/>
  <c r="O42" i="20" a="1"/>
  <c r="O42" i="20" s="1"/>
  <c r="T47" i="20"/>
  <c r="T42" i="21"/>
  <c r="O44" i="21" a="1"/>
  <c r="O44" i="21" s="1"/>
  <c r="T41" i="22"/>
  <c r="Q43" i="22"/>
  <c r="O48" i="22" a="1"/>
  <c r="O48" i="22" s="1"/>
  <c r="X48" i="22" s="1"/>
  <c r="S42" i="23"/>
  <c r="R43" i="23"/>
  <c r="T47" i="23"/>
  <c r="O48" i="23" a="1"/>
  <c r="O48" i="23" s="1"/>
  <c r="X48" i="23" s="1"/>
  <c r="O44" i="24" a="1"/>
  <c r="O44" i="24" s="1"/>
  <c r="X44" i="24" s="1"/>
  <c r="R43" i="25"/>
  <c r="Q45" i="25"/>
  <c r="Q42" i="26"/>
  <c r="T45" i="26"/>
  <c r="Q47" i="26"/>
  <c r="S42" i="28"/>
  <c r="R43" i="28"/>
  <c r="R45" i="28"/>
  <c r="T45" i="29"/>
  <c r="Q47" i="29"/>
  <c r="T41" i="30"/>
  <c r="R43" i="30"/>
  <c r="T47" i="30"/>
  <c r="O48" i="30" a="1"/>
  <c r="O48" i="30" s="1"/>
  <c r="X48" i="30" s="1"/>
  <c r="T45" i="10"/>
  <c r="T42" i="11"/>
  <c r="T44" i="11"/>
  <c r="O44" i="12" a="1"/>
  <c r="O44" i="12" s="1"/>
  <c r="T45" i="12"/>
  <c r="R47" i="12"/>
  <c r="S45" i="13"/>
  <c r="O44" i="14" a="1"/>
  <c r="O44" i="14" s="1"/>
  <c r="S45" i="15"/>
  <c r="O43" i="16" a="1"/>
  <c r="O43" i="16" s="1"/>
  <c r="R46" i="16"/>
  <c r="T42" i="17"/>
  <c r="O47" i="17" a="1"/>
  <c r="O47" i="17" s="1"/>
  <c r="O44" i="18" a="1"/>
  <c r="O44" i="18" s="1"/>
  <c r="S43" i="19"/>
  <c r="T46" i="19"/>
  <c r="S48" i="19"/>
  <c r="O48" i="20" a="1"/>
  <c r="O48" i="20" s="1"/>
  <c r="X48" i="20" s="1"/>
  <c r="E38" i="21"/>
  <c r="S42" i="21"/>
  <c r="R47" i="21"/>
  <c r="S41" i="22"/>
  <c r="O42" i="22" a="1"/>
  <c r="O42" i="22" s="1"/>
  <c r="T46" i="22"/>
  <c r="T48" i="22"/>
  <c r="T41" i="23"/>
  <c r="Q43" i="23"/>
  <c r="R48" i="23"/>
  <c r="T42" i="24"/>
  <c r="S46" i="24"/>
  <c r="R47" i="24"/>
  <c r="E11" i="25"/>
  <c r="E15" i="25"/>
  <c r="E23" i="25"/>
  <c r="H36" i="25"/>
  <c r="T41" i="25"/>
  <c r="O48" i="25" a="1"/>
  <c r="O48" i="25" s="1"/>
  <c r="X48" i="25" s="1"/>
  <c r="S45" i="26"/>
  <c r="O46" i="26" a="1"/>
  <c r="O46" i="26" s="1"/>
  <c r="T41" i="27"/>
  <c r="R43" i="27"/>
  <c r="O48" i="27" a="1"/>
  <c r="O48" i="27" s="1"/>
  <c r="X48" i="27" s="1"/>
  <c r="E16" i="28"/>
  <c r="Q43" i="28"/>
  <c r="H15" i="29"/>
  <c r="S42" i="29"/>
  <c r="R43" i="29"/>
  <c r="S45" i="29"/>
  <c r="H11" i="30"/>
  <c r="E20" i="30"/>
  <c r="E25" i="30"/>
  <c r="Q48" i="30"/>
  <c r="O46" i="10" a="1"/>
  <c r="O46" i="10" s="1"/>
  <c r="Q42" i="11"/>
  <c r="S46" i="11"/>
  <c r="S42" i="12"/>
  <c r="Q45" i="12"/>
  <c r="T41" i="13"/>
  <c r="R43" i="13"/>
  <c r="O48" i="13" a="1"/>
  <c r="O48" i="13" s="1"/>
  <c r="T42" i="14"/>
  <c r="S46" i="14"/>
  <c r="O47" i="14" a="1"/>
  <c r="O47" i="14" s="1"/>
  <c r="S47" i="15"/>
  <c r="O48" i="15" a="1"/>
  <c r="O48" i="15" s="1"/>
  <c r="X48" i="15" s="1"/>
  <c r="S41" i="16"/>
  <c r="O44" i="16" a="1"/>
  <c r="O44" i="16" s="1"/>
  <c r="T46" i="16"/>
  <c r="E33" i="17"/>
  <c r="R45" i="17"/>
  <c r="R47" i="17"/>
  <c r="T42" i="18"/>
  <c r="S46" i="18"/>
  <c r="R47" i="18"/>
  <c r="E19" i="19"/>
  <c r="S44" i="19"/>
  <c r="S46" i="19"/>
  <c r="T46" i="20"/>
  <c r="T48" i="20"/>
  <c r="E34" i="21"/>
  <c r="S44" i="21"/>
  <c r="T45" i="21"/>
  <c r="Q47" i="21"/>
  <c r="S43" i="22"/>
  <c r="O42" i="23" a="1"/>
  <c r="O42" i="23" s="1"/>
  <c r="X42" i="23" s="1"/>
  <c r="T46" i="23"/>
  <c r="Q42" i="24"/>
  <c r="T45" i="24"/>
  <c r="Q47" i="24"/>
  <c r="H11" i="25"/>
  <c r="Q41" i="25"/>
  <c r="T46" i="25"/>
  <c r="T48" i="25"/>
  <c r="S42" i="26"/>
  <c r="R43" i="26"/>
  <c r="H36" i="27"/>
  <c r="S41" i="27"/>
  <c r="T46" i="27"/>
  <c r="T48" i="27"/>
  <c r="H36" i="28"/>
  <c r="R41" i="28"/>
  <c r="S45" i="28"/>
  <c r="T41" i="29"/>
  <c r="Q43" i="29"/>
  <c r="S47" i="29"/>
  <c r="O48" i="29" a="1"/>
  <c r="O48" i="29" s="1"/>
  <c r="X48" i="29" s="1"/>
  <c r="T43" i="30"/>
  <c r="R46" i="30"/>
  <c r="R43" i="10"/>
  <c r="T47" i="10"/>
  <c r="O48" i="10" a="1"/>
  <c r="O48" i="10" s="1"/>
  <c r="X48" i="10" s="1"/>
  <c r="O44" i="11" a="1"/>
  <c r="O44" i="11" s="1"/>
  <c r="R47" i="11"/>
  <c r="O48" i="12" a="1"/>
  <c r="O48" i="12" s="1"/>
  <c r="S41" i="13"/>
  <c r="T46" i="13"/>
  <c r="Q48" i="13"/>
  <c r="Q42" i="14"/>
  <c r="T45" i="14"/>
  <c r="R47" i="14"/>
  <c r="E19" i="15"/>
  <c r="T41" i="15"/>
  <c r="R43" i="15"/>
  <c r="T48" i="15"/>
  <c r="R42" i="16"/>
  <c r="S44" i="16"/>
  <c r="O46" i="17" a="1"/>
  <c r="O46" i="17" s="1"/>
  <c r="H11" i="18"/>
  <c r="Q42" i="18"/>
  <c r="T45" i="18"/>
  <c r="Q47" i="18"/>
  <c r="T42" i="19"/>
  <c r="T42" i="20"/>
  <c r="O44" i="20" a="1"/>
  <c r="O44" i="20" s="1"/>
  <c r="S45" i="21"/>
  <c r="O44" i="22" a="1"/>
  <c r="O44" i="22" s="1"/>
  <c r="T43" i="23"/>
  <c r="S45" i="24"/>
  <c r="R48" i="25"/>
  <c r="T41" i="26"/>
  <c r="Q43" i="26"/>
  <c r="O48" i="26" a="1"/>
  <c r="O48" i="26" s="1"/>
  <c r="X48" i="26" s="1"/>
  <c r="O43" i="27" a="1"/>
  <c r="O43" i="27" s="1"/>
  <c r="Q46" i="27"/>
  <c r="T45" i="28"/>
  <c r="T46" i="28"/>
  <c r="O48" i="28" a="1"/>
  <c r="O48" i="28" s="1"/>
  <c r="X48" i="28" s="1"/>
  <c r="S41" i="29"/>
  <c r="O42" i="29" a="1"/>
  <c r="O42" i="29" s="1"/>
  <c r="T48" i="29"/>
  <c r="T44" i="30"/>
  <c r="T46" i="30"/>
  <c r="Q48" i="10"/>
  <c r="S42" i="11"/>
  <c r="T45" i="11"/>
  <c r="Q47" i="11"/>
  <c r="T41" i="12"/>
  <c r="R43" i="12"/>
  <c r="T46" i="12"/>
  <c r="T48" i="12"/>
  <c r="T44" i="13"/>
  <c r="Q46" i="13"/>
  <c r="S45" i="14"/>
  <c r="R41" i="15"/>
  <c r="T46" i="15"/>
  <c r="T42" i="16"/>
  <c r="E15" i="17"/>
  <c r="T47" i="17"/>
  <c r="S45" i="18"/>
  <c r="O46" i="18" a="1"/>
  <c r="O46" i="18" s="1"/>
  <c r="H38" i="19"/>
  <c r="S42" i="19"/>
  <c r="T45" i="19"/>
  <c r="Q45" i="19"/>
  <c r="R47" i="19"/>
  <c r="R43" i="21"/>
  <c r="O48" i="21" a="1"/>
  <c r="O48" i="21" s="1"/>
  <c r="X48" i="21" s="1"/>
  <c r="T42" i="22"/>
  <c r="S46" i="22"/>
  <c r="R47" i="22"/>
  <c r="O44" i="23" a="1"/>
  <c r="O44" i="23" s="1"/>
  <c r="X44" i="23" s="1"/>
  <c r="S42" i="24"/>
  <c r="S47" i="24"/>
  <c r="O48" i="24" a="1"/>
  <c r="O48" i="24" s="1"/>
  <c r="X48" i="24" s="1"/>
  <c r="T42" i="25"/>
  <c r="Q44" i="25"/>
  <c r="R46" i="25"/>
  <c r="S41" i="26"/>
  <c r="O42" i="26" a="1"/>
  <c r="O42" i="26" s="1"/>
  <c r="T46" i="26"/>
  <c r="S48" i="26"/>
  <c r="O44" i="27" a="1"/>
  <c r="O44" i="27" s="1"/>
  <c r="S41" i="28"/>
  <c r="Q46" i="28"/>
  <c r="T46" i="29"/>
  <c r="R42" i="30"/>
  <c r="O44" i="30" a="1"/>
  <c r="O44" i="30" s="1"/>
  <c r="R48" i="30"/>
  <c r="E37" i="30"/>
  <c r="Q41" i="30"/>
  <c r="O42" i="30" a="1"/>
  <c r="O42" i="30" s="1"/>
  <c r="X42" i="30" s="1"/>
  <c r="S44" i="30"/>
  <c r="Q45" i="30"/>
  <c r="O46" i="30" a="1"/>
  <c r="O46" i="30" s="1"/>
  <c r="S48" i="30"/>
  <c r="H15" i="30"/>
  <c r="R41" i="30"/>
  <c r="R45" i="30"/>
  <c r="T48" i="30"/>
  <c r="H36" i="30"/>
  <c r="E23" i="30"/>
  <c r="H30" i="30"/>
  <c r="E34" i="30"/>
  <c r="S41" i="30"/>
  <c r="Q42" i="30"/>
  <c r="O43" i="30" a="1"/>
  <c r="O43" i="30" s="1"/>
  <c r="S45" i="30"/>
  <c r="Q46" i="30"/>
  <c r="Q44" i="30"/>
  <c r="E11" i="30"/>
  <c r="E21" i="30"/>
  <c r="R44" i="30"/>
  <c r="H23" i="30"/>
  <c r="H34" i="30"/>
  <c r="S47" i="30"/>
  <c r="H16" i="30"/>
  <c r="S42" i="30"/>
  <c r="Q43" i="30"/>
  <c r="Q47" i="30"/>
  <c r="E13" i="30"/>
  <c r="Q48" i="29"/>
  <c r="E11" i="29"/>
  <c r="E21" i="29"/>
  <c r="H29" i="29"/>
  <c r="E33" i="29"/>
  <c r="T43" i="29"/>
  <c r="R44" i="29"/>
  <c r="T47" i="29"/>
  <c r="R48" i="29"/>
  <c r="E37" i="29"/>
  <c r="Q41" i="29"/>
  <c r="S44" i="29"/>
  <c r="Q45" i="29"/>
  <c r="O46" i="29" a="1"/>
  <c r="O46" i="29" s="1"/>
  <c r="S48" i="29"/>
  <c r="H37" i="29"/>
  <c r="R41" i="29"/>
  <c r="T44" i="29"/>
  <c r="R45" i="29"/>
  <c r="H36" i="29"/>
  <c r="Q44" i="29"/>
  <c r="E23" i="29"/>
  <c r="H30" i="29"/>
  <c r="Q42" i="29"/>
  <c r="O43" i="29" a="1"/>
  <c r="O43" i="29" s="1"/>
  <c r="Q46" i="29"/>
  <c r="O47" i="29" a="1"/>
  <c r="O47" i="29" s="1"/>
  <c r="X47" i="29" s="1"/>
  <c r="H34" i="29"/>
  <c r="R42" i="29"/>
  <c r="R46" i="29"/>
  <c r="H16" i="29"/>
  <c r="S46" i="29"/>
  <c r="E13" i="29"/>
  <c r="Q48" i="28"/>
  <c r="E11" i="28"/>
  <c r="E21" i="28"/>
  <c r="H29" i="28"/>
  <c r="E33" i="28"/>
  <c r="T43" i="28"/>
  <c r="R44" i="28"/>
  <c r="T47" i="28"/>
  <c r="R48" i="28"/>
  <c r="E37" i="28"/>
  <c r="Q41" i="28"/>
  <c r="O42" i="28" a="1"/>
  <c r="O42" i="28" s="1"/>
  <c r="S44" i="28"/>
  <c r="Q45" i="28"/>
  <c r="O46" i="28" a="1"/>
  <c r="O46" i="28" s="1"/>
  <c r="S48" i="28"/>
  <c r="T44" i="28"/>
  <c r="T48" i="28"/>
  <c r="E23" i="28"/>
  <c r="H30" i="28"/>
  <c r="O43" i="28" a="1"/>
  <c r="O43" i="28" s="1"/>
  <c r="O47" i="28" a="1"/>
  <c r="O47" i="28" s="1"/>
  <c r="Q44" i="28"/>
  <c r="H34" i="28"/>
  <c r="H16" i="28"/>
  <c r="E13" i="28"/>
  <c r="S43" i="27"/>
  <c r="Q48" i="27"/>
  <c r="E11" i="27"/>
  <c r="E21" i="27"/>
  <c r="H29" i="27"/>
  <c r="E33" i="27"/>
  <c r="T43" i="27"/>
  <c r="R44" i="27"/>
  <c r="T47" i="27"/>
  <c r="R48" i="27"/>
  <c r="Q44" i="27"/>
  <c r="E37" i="27"/>
  <c r="Q41" i="27"/>
  <c r="O42" i="27" a="1"/>
  <c r="O42" i="27" s="1"/>
  <c r="S44" i="27"/>
  <c r="Q45" i="27"/>
  <c r="O46" i="27" a="1"/>
  <c r="O46" i="27" s="1"/>
  <c r="S48" i="27"/>
  <c r="R41" i="27"/>
  <c r="T44" i="27"/>
  <c r="R45" i="27"/>
  <c r="E23" i="27"/>
  <c r="H30" i="27"/>
  <c r="O47" i="27" a="1"/>
  <c r="O47" i="27" s="1"/>
  <c r="H12" i="27"/>
  <c r="H23" i="27"/>
  <c r="H34" i="27"/>
  <c r="R42" i="27"/>
  <c r="R46" i="27"/>
  <c r="H16" i="27"/>
  <c r="S42" i="27"/>
  <c r="Q43" i="27"/>
  <c r="S46" i="27"/>
  <c r="Q47" i="27"/>
  <c r="E13" i="27"/>
  <c r="H36" i="26"/>
  <c r="Q48" i="26"/>
  <c r="E11" i="26"/>
  <c r="E21" i="26"/>
  <c r="H29" i="26"/>
  <c r="E33" i="26"/>
  <c r="T43" i="26"/>
  <c r="R44" i="26"/>
  <c r="T47" i="26"/>
  <c r="R48" i="26"/>
  <c r="E37" i="26"/>
  <c r="Q41" i="26"/>
  <c r="S44" i="26"/>
  <c r="Q45" i="26"/>
  <c r="H37" i="26"/>
  <c r="R41" i="26"/>
  <c r="R45" i="26"/>
  <c r="T48" i="26"/>
  <c r="E23" i="26"/>
  <c r="H30" i="26"/>
  <c r="O43" i="26" a="1"/>
  <c r="O43" i="26" s="1"/>
  <c r="X46" i="26" s="1"/>
  <c r="O47" i="26" a="1"/>
  <c r="O47" i="26" s="1"/>
  <c r="H12" i="26"/>
  <c r="H23" i="26"/>
  <c r="H34" i="26"/>
  <c r="R42" i="26"/>
  <c r="R46" i="26"/>
  <c r="H16" i="26"/>
  <c r="H27" i="26"/>
  <c r="O44" i="26" a="1"/>
  <c r="O44" i="26" s="1"/>
  <c r="E13" i="26"/>
  <c r="E24" i="26"/>
  <c r="H13" i="25"/>
  <c r="E17" i="25"/>
  <c r="O41" i="25" a="1"/>
  <c r="O41" i="25" s="1"/>
  <c r="X41" i="25" s="1"/>
  <c r="S43" i="25"/>
  <c r="O45" i="25" a="1"/>
  <c r="O45" i="25" s="1"/>
  <c r="S47" i="25"/>
  <c r="Q48" i="25"/>
  <c r="E33" i="25"/>
  <c r="T43" i="25"/>
  <c r="R44" i="25"/>
  <c r="T47" i="25"/>
  <c r="H37" i="25"/>
  <c r="R41" i="25"/>
  <c r="T44" i="25"/>
  <c r="R45" i="25"/>
  <c r="S41" i="25"/>
  <c r="Q42" i="25"/>
  <c r="O43" i="25" a="1"/>
  <c r="O43" i="25" s="1"/>
  <c r="S45" i="25"/>
  <c r="Q46" i="25"/>
  <c r="O47" i="25" a="1"/>
  <c r="O47" i="25" s="1"/>
  <c r="R42" i="25"/>
  <c r="H27" i="25"/>
  <c r="Q43" i="25"/>
  <c r="S46" i="25"/>
  <c r="Q47" i="25"/>
  <c r="E24" i="25"/>
  <c r="H36" i="24"/>
  <c r="Q48" i="24"/>
  <c r="E11" i="24"/>
  <c r="E21" i="24"/>
  <c r="H29" i="24"/>
  <c r="E33" i="24"/>
  <c r="T43" i="24"/>
  <c r="R44" i="24"/>
  <c r="T47" i="24"/>
  <c r="R48" i="24"/>
  <c r="E37" i="24"/>
  <c r="Q41" i="24"/>
  <c r="O42" i="24" a="1"/>
  <c r="O42" i="24" s="1"/>
  <c r="X42" i="24" s="1"/>
  <c r="S44" i="24"/>
  <c r="Q45" i="24"/>
  <c r="O46" i="24" a="1"/>
  <c r="O46" i="24" s="1"/>
  <c r="X46" i="24" s="1"/>
  <c r="S48" i="24"/>
  <c r="R41" i="24"/>
  <c r="T44" i="24"/>
  <c r="R45" i="24"/>
  <c r="Q44" i="24"/>
  <c r="E23" i="24"/>
  <c r="H30" i="24"/>
  <c r="O43" i="24" a="1"/>
  <c r="O43" i="24" s="1"/>
  <c r="X43" i="24" s="1"/>
  <c r="O47" i="24" a="1"/>
  <c r="O47" i="24" s="1"/>
  <c r="X47" i="24" s="1"/>
  <c r="H12" i="24"/>
  <c r="H23" i="24"/>
  <c r="H34" i="24"/>
  <c r="R42" i="24"/>
  <c r="R46" i="24"/>
  <c r="H16" i="24"/>
  <c r="Q43" i="24"/>
  <c r="E13" i="24"/>
  <c r="Q48" i="23"/>
  <c r="E11" i="23"/>
  <c r="H29" i="23"/>
  <c r="E37" i="23"/>
  <c r="Q41" i="23"/>
  <c r="S44" i="23"/>
  <c r="Q45" i="23"/>
  <c r="O46" i="23" a="1"/>
  <c r="O46" i="23" s="1"/>
  <c r="X46" i="23" s="1"/>
  <c r="S48" i="23"/>
  <c r="E21" i="23"/>
  <c r="H37" i="23"/>
  <c r="R41" i="23"/>
  <c r="T44" i="23"/>
  <c r="R45" i="23"/>
  <c r="T48" i="23"/>
  <c r="Q44" i="23"/>
  <c r="S47" i="23"/>
  <c r="R44" i="23"/>
  <c r="E23" i="23"/>
  <c r="H30" i="23"/>
  <c r="E34" i="23"/>
  <c r="S41" i="23"/>
  <c r="O43" i="23" a="1"/>
  <c r="O43" i="23" s="1"/>
  <c r="X43" i="23" s="1"/>
  <c r="S45" i="23"/>
  <c r="Q46" i="23"/>
  <c r="O47" i="23" a="1"/>
  <c r="O47" i="23" s="1"/>
  <c r="X47" i="23" s="1"/>
  <c r="H34" i="23"/>
  <c r="R42" i="23"/>
  <c r="R46" i="23"/>
  <c r="S43" i="23"/>
  <c r="H16" i="23"/>
  <c r="E13" i="23"/>
  <c r="Q44" i="22"/>
  <c r="Q48" i="22"/>
  <c r="E11" i="22"/>
  <c r="E21" i="22"/>
  <c r="H29" i="22"/>
  <c r="E33" i="22"/>
  <c r="T43" i="22"/>
  <c r="R44" i="22"/>
  <c r="T47" i="22"/>
  <c r="R48" i="22"/>
  <c r="E37" i="22"/>
  <c r="Q41" i="22"/>
  <c r="S44" i="22"/>
  <c r="Q45" i="22"/>
  <c r="O46" i="22" a="1"/>
  <c r="O46" i="22" s="1"/>
  <c r="S48" i="22"/>
  <c r="H37" i="22"/>
  <c r="R41" i="22"/>
  <c r="T44" i="22"/>
  <c r="E23" i="22"/>
  <c r="H30" i="22"/>
  <c r="O43" i="22" a="1"/>
  <c r="O43" i="22" s="1"/>
  <c r="S45" i="22"/>
  <c r="Q46" i="22"/>
  <c r="O47" i="22" a="1"/>
  <c r="O47" i="22" s="1"/>
  <c r="H12" i="22"/>
  <c r="H23" i="22"/>
  <c r="H34" i="22"/>
  <c r="R42" i="22"/>
  <c r="R46" i="22"/>
  <c r="H16" i="22"/>
  <c r="E13" i="22"/>
  <c r="H13" i="21"/>
  <c r="E17" i="21"/>
  <c r="O41" i="21" a="1"/>
  <c r="O41" i="21" s="1"/>
  <c r="S43" i="21"/>
  <c r="Q44" i="21"/>
  <c r="O45" i="21" a="1"/>
  <c r="O45" i="21" s="1"/>
  <c r="S47" i="21"/>
  <c r="Q48" i="21"/>
  <c r="Q45" i="21"/>
  <c r="E21" i="21"/>
  <c r="E33" i="21"/>
  <c r="T43" i="21"/>
  <c r="R44" i="21"/>
  <c r="T47" i="21"/>
  <c r="R48" i="21"/>
  <c r="H37" i="21"/>
  <c r="R41" i="21"/>
  <c r="T44" i="21"/>
  <c r="R45" i="21"/>
  <c r="S41" i="21"/>
  <c r="Q42" i="21"/>
  <c r="O43" i="21" a="1"/>
  <c r="O43" i="21" s="1"/>
  <c r="Q46" i="21"/>
  <c r="O47" i="21" a="1"/>
  <c r="O47" i="21" s="1"/>
  <c r="R42" i="21"/>
  <c r="R46" i="21"/>
  <c r="H27" i="21"/>
  <c r="E24" i="21"/>
  <c r="Q48" i="20"/>
  <c r="E11" i="20"/>
  <c r="E21" i="20"/>
  <c r="H29" i="20"/>
  <c r="E33" i="20"/>
  <c r="T43" i="20"/>
  <c r="R44" i="20"/>
  <c r="R48" i="20"/>
  <c r="E37" i="20"/>
  <c r="S44" i="20"/>
  <c r="O46" i="20" a="1"/>
  <c r="O46" i="20" s="1"/>
  <c r="X46" i="20" s="1"/>
  <c r="S48" i="20"/>
  <c r="H37" i="20"/>
  <c r="R41" i="20"/>
  <c r="T44" i="20"/>
  <c r="R45" i="20"/>
  <c r="E23" i="20"/>
  <c r="H30" i="20"/>
  <c r="E34" i="20"/>
  <c r="S41" i="20"/>
  <c r="Q42" i="20"/>
  <c r="O43" i="20" a="1"/>
  <c r="O43" i="20" s="1"/>
  <c r="S45" i="20"/>
  <c r="Q46" i="20"/>
  <c r="H34" i="20"/>
  <c r="R42" i="20"/>
  <c r="R46" i="20"/>
  <c r="H16" i="20"/>
  <c r="S42" i="20"/>
  <c r="Q43" i="20"/>
  <c r="S46" i="20"/>
  <c r="Q47" i="20"/>
  <c r="E13" i="20"/>
  <c r="Q48" i="19"/>
  <c r="E11" i="19"/>
  <c r="E21" i="19"/>
  <c r="H29" i="19"/>
  <c r="E33" i="19"/>
  <c r="T43" i="19"/>
  <c r="R44" i="19"/>
  <c r="T47" i="19"/>
  <c r="R48" i="19"/>
  <c r="Q44" i="19"/>
  <c r="H37" i="19"/>
  <c r="R41" i="19"/>
  <c r="T44" i="19"/>
  <c r="R45" i="19"/>
  <c r="T48" i="19"/>
  <c r="E23" i="19"/>
  <c r="H30" i="19"/>
  <c r="E34" i="19"/>
  <c r="S41" i="19"/>
  <c r="Q42" i="19"/>
  <c r="O43" i="19" a="1"/>
  <c r="O43" i="19" s="1"/>
  <c r="Q46" i="19"/>
  <c r="O47" i="19" a="1"/>
  <c r="O47" i="19" s="1"/>
  <c r="H23" i="19"/>
  <c r="H34" i="19"/>
  <c r="R42" i="19"/>
  <c r="R46" i="19"/>
  <c r="E37" i="19"/>
  <c r="H16" i="19"/>
  <c r="H27" i="19"/>
  <c r="O44" i="19" a="1"/>
  <c r="O44" i="19" s="1"/>
  <c r="X44" i="19" s="1"/>
  <c r="E13" i="19"/>
  <c r="E24" i="19"/>
  <c r="Q48" i="18"/>
  <c r="E11" i="18"/>
  <c r="E21" i="18"/>
  <c r="H29" i="18"/>
  <c r="E33" i="18"/>
  <c r="T43" i="18"/>
  <c r="R44" i="18"/>
  <c r="T47" i="18"/>
  <c r="R48" i="18"/>
  <c r="E37" i="18"/>
  <c r="Q41" i="18"/>
  <c r="S44" i="18"/>
  <c r="Q45" i="18"/>
  <c r="H37" i="18"/>
  <c r="R41" i="18"/>
  <c r="T44" i="18"/>
  <c r="R45" i="18"/>
  <c r="T48" i="18"/>
  <c r="H36" i="18"/>
  <c r="E23" i="18"/>
  <c r="H30" i="18"/>
  <c r="O43" i="18" a="1"/>
  <c r="O43" i="18" s="1"/>
  <c r="X45" i="18" s="1"/>
  <c r="O47" i="18" a="1"/>
  <c r="O47" i="18" s="1"/>
  <c r="Q44" i="18"/>
  <c r="H12" i="18"/>
  <c r="H23" i="18"/>
  <c r="H34" i="18"/>
  <c r="R42" i="18"/>
  <c r="R46" i="18"/>
  <c r="H16" i="18"/>
  <c r="E13" i="18"/>
  <c r="E24" i="18"/>
  <c r="S43" i="17"/>
  <c r="Q44" i="17"/>
  <c r="Q48" i="17"/>
  <c r="E21" i="17"/>
  <c r="H29" i="17"/>
  <c r="R44" i="17"/>
  <c r="E37" i="17"/>
  <c r="Q41" i="17"/>
  <c r="H37" i="17"/>
  <c r="T48" i="17"/>
  <c r="E23" i="17"/>
  <c r="H30" i="17"/>
  <c r="E34" i="17"/>
  <c r="S41" i="17"/>
  <c r="Q42" i="17"/>
  <c r="O43" i="17" a="1"/>
  <c r="O43" i="17" s="1"/>
  <c r="S45" i="17"/>
  <c r="Q46" i="17"/>
  <c r="R41" i="17"/>
  <c r="T44" i="17"/>
  <c r="H34" i="17"/>
  <c r="R42" i="17"/>
  <c r="T45" i="17"/>
  <c r="R46" i="17"/>
  <c r="Q45" i="17"/>
  <c r="H16" i="17"/>
  <c r="H27" i="17"/>
  <c r="S42" i="17"/>
  <c r="Q43" i="17"/>
  <c r="O44" i="17" a="1"/>
  <c r="O44" i="17" s="1"/>
  <c r="X44" i="17" s="1"/>
  <c r="S46" i="17"/>
  <c r="Q47" i="17"/>
  <c r="R48" i="17"/>
  <c r="E13" i="17"/>
  <c r="E24" i="17"/>
  <c r="Q44" i="16"/>
  <c r="E11" i="16"/>
  <c r="E21" i="16"/>
  <c r="H29" i="16"/>
  <c r="E33" i="16"/>
  <c r="R44" i="16"/>
  <c r="T47" i="16"/>
  <c r="R48" i="16"/>
  <c r="E37" i="16"/>
  <c r="O42" i="16" a="1"/>
  <c r="O42" i="16" s="1"/>
  <c r="O46" i="16" a="1"/>
  <c r="O46" i="16" s="1"/>
  <c r="X46" i="16" s="1"/>
  <c r="S48" i="16"/>
  <c r="H15" i="16"/>
  <c r="R41" i="16"/>
  <c r="T44" i="16"/>
  <c r="R45" i="16"/>
  <c r="T48" i="16"/>
  <c r="E23" i="16"/>
  <c r="H30" i="16"/>
  <c r="E34" i="16"/>
  <c r="Q42" i="16"/>
  <c r="Q46" i="16"/>
  <c r="O47" i="16" a="1"/>
  <c r="O47" i="16" s="1"/>
  <c r="H23" i="16"/>
  <c r="H34" i="16"/>
  <c r="H16" i="16"/>
  <c r="S42" i="16"/>
  <c r="Q43" i="16"/>
  <c r="S46" i="16"/>
  <c r="Q47" i="16"/>
  <c r="E13" i="16"/>
  <c r="H36" i="15"/>
  <c r="Q44" i="15"/>
  <c r="Q48" i="15"/>
  <c r="E11" i="15"/>
  <c r="E21" i="15"/>
  <c r="H29" i="15"/>
  <c r="E33" i="15"/>
  <c r="T43" i="15"/>
  <c r="R44" i="15"/>
  <c r="T47" i="15"/>
  <c r="R48" i="15"/>
  <c r="E37" i="15"/>
  <c r="Q41" i="15"/>
  <c r="O42" i="15" a="1"/>
  <c r="O42" i="15" s="1"/>
  <c r="S44" i="15"/>
  <c r="Q45" i="15"/>
  <c r="O46" i="15" a="1"/>
  <c r="O46" i="15" s="1"/>
  <c r="S48" i="15"/>
  <c r="T44" i="15"/>
  <c r="R45" i="15"/>
  <c r="E23" i="15"/>
  <c r="H30" i="15"/>
  <c r="O43" i="15" a="1"/>
  <c r="O43" i="15" s="1"/>
  <c r="O47" i="15" a="1"/>
  <c r="O47" i="15" s="1"/>
  <c r="H23" i="15"/>
  <c r="E27" i="15"/>
  <c r="H34" i="15"/>
  <c r="R42" i="15"/>
  <c r="R46" i="15"/>
  <c r="H16" i="15"/>
  <c r="S42" i="15"/>
  <c r="Q43" i="15"/>
  <c r="S46" i="15"/>
  <c r="Q47" i="15"/>
  <c r="E13" i="15"/>
  <c r="Q48" i="14"/>
  <c r="H23" i="14"/>
  <c r="E26" i="14"/>
  <c r="H31" i="14"/>
  <c r="E34" i="14"/>
  <c r="T43" i="14"/>
  <c r="R44" i="14"/>
  <c r="T47" i="14"/>
  <c r="R48" i="14"/>
  <c r="E13" i="14"/>
  <c r="H18" i="14"/>
  <c r="E21" i="14"/>
  <c r="H34" i="14"/>
  <c r="E37" i="14"/>
  <c r="Q41" i="14"/>
  <c r="O42" i="14" a="1"/>
  <c r="O42" i="14" s="1"/>
  <c r="S44" i="14"/>
  <c r="Q45" i="14"/>
  <c r="O46" i="14" a="1"/>
  <c r="O46" i="14" s="1"/>
  <c r="S48" i="14"/>
  <c r="H36" i="14"/>
  <c r="H29" i="14"/>
  <c r="E32" i="14"/>
  <c r="H37" i="14"/>
  <c r="R41" i="14"/>
  <c r="T44" i="14"/>
  <c r="R45" i="14"/>
  <c r="E11" i="14"/>
  <c r="H16" i="14"/>
  <c r="O43" i="14" a="1"/>
  <c r="O43" i="14" s="1"/>
  <c r="Q44" i="14"/>
  <c r="H11" i="14"/>
  <c r="H19" i="14"/>
  <c r="H35" i="14"/>
  <c r="R42" i="14"/>
  <c r="R46" i="14"/>
  <c r="Q47" i="14"/>
  <c r="E15" i="13"/>
  <c r="O41" i="13" a="1"/>
  <c r="O41" i="13" s="1"/>
  <c r="S43" i="13"/>
  <c r="O45" i="13" a="1"/>
  <c r="O45" i="13" s="1"/>
  <c r="S47" i="13"/>
  <c r="H23" i="13"/>
  <c r="E34" i="13"/>
  <c r="T43" i="13"/>
  <c r="R44" i="13"/>
  <c r="T47" i="13"/>
  <c r="R48" i="13"/>
  <c r="H13" i="13"/>
  <c r="E24" i="13"/>
  <c r="E32" i="13"/>
  <c r="H37" i="13"/>
  <c r="R41" i="13"/>
  <c r="R45" i="13"/>
  <c r="T48" i="13"/>
  <c r="Q41" i="13"/>
  <c r="Q45" i="13"/>
  <c r="O43" i="13" a="1"/>
  <c r="O43" i="13" s="1"/>
  <c r="O47" i="13" a="1"/>
  <c r="O47" i="13" s="1"/>
  <c r="H11" i="13"/>
  <c r="H19" i="13"/>
  <c r="E22" i="13"/>
  <c r="H27" i="13"/>
  <c r="R42" i="13"/>
  <c r="R46" i="13"/>
  <c r="E17" i="13"/>
  <c r="E25" i="13"/>
  <c r="E33" i="13"/>
  <c r="Q43" i="13"/>
  <c r="Q47" i="13"/>
  <c r="H33" i="13"/>
  <c r="E15" i="12"/>
  <c r="O41" i="12" a="1"/>
  <c r="O41" i="12" s="1"/>
  <c r="S43" i="12"/>
  <c r="Q44" i="12"/>
  <c r="O45" i="12" a="1"/>
  <c r="O45" i="12" s="1"/>
  <c r="S47" i="12"/>
  <c r="Q48" i="12"/>
  <c r="H31" i="12"/>
  <c r="E34" i="12"/>
  <c r="T43" i="12"/>
  <c r="R44" i="12"/>
  <c r="T47" i="12"/>
  <c r="R48" i="12"/>
  <c r="Q41" i="12"/>
  <c r="H13" i="12"/>
  <c r="E24" i="12"/>
  <c r="E32" i="12"/>
  <c r="H37" i="12"/>
  <c r="R41" i="12"/>
  <c r="R45" i="12"/>
  <c r="S44" i="12"/>
  <c r="O43" i="12" a="1"/>
  <c r="O43" i="12" s="1"/>
  <c r="S45" i="12"/>
  <c r="H11" i="12"/>
  <c r="H19" i="12"/>
  <c r="E22" i="12"/>
  <c r="H27" i="12"/>
  <c r="H35" i="12"/>
  <c r="R42" i="12"/>
  <c r="R46" i="12"/>
  <c r="E17" i="12"/>
  <c r="E25" i="12"/>
  <c r="E33" i="12"/>
  <c r="Q43" i="12"/>
  <c r="Q47" i="12"/>
  <c r="E12" i="12"/>
  <c r="H33" i="12"/>
  <c r="E15" i="11"/>
  <c r="O41" i="11" a="1"/>
  <c r="O41" i="11" s="1"/>
  <c r="S43" i="11"/>
  <c r="Q44" i="11"/>
  <c r="O45" i="11" a="1"/>
  <c r="O45" i="11" s="1"/>
  <c r="S47" i="11"/>
  <c r="Q48" i="11"/>
  <c r="H15" i="11"/>
  <c r="H23" i="11"/>
  <c r="H31" i="11"/>
  <c r="E34" i="11"/>
  <c r="T43" i="11"/>
  <c r="R44" i="11"/>
  <c r="T47" i="11"/>
  <c r="R48" i="11"/>
  <c r="Q41" i="11"/>
  <c r="H13" i="11"/>
  <c r="E24" i="11"/>
  <c r="E32" i="11"/>
  <c r="H37" i="11"/>
  <c r="R41" i="11"/>
  <c r="R45" i="11"/>
  <c r="T48" i="11"/>
  <c r="O43" i="11" a="1"/>
  <c r="O43" i="11" s="1"/>
  <c r="S45" i="11"/>
  <c r="O47" i="11" a="1"/>
  <c r="O47" i="11" s="1"/>
  <c r="H11" i="11"/>
  <c r="H19" i="11"/>
  <c r="E22" i="11"/>
  <c r="H27" i="11"/>
  <c r="H35" i="11"/>
  <c r="R42" i="11"/>
  <c r="R46" i="11"/>
  <c r="E17" i="11"/>
  <c r="E25" i="11"/>
  <c r="E33" i="11"/>
  <c r="E12" i="11"/>
  <c r="H33" i="11"/>
  <c r="Q44" i="10"/>
  <c r="S47" i="10"/>
  <c r="E21" i="10"/>
  <c r="H29" i="10"/>
  <c r="E37" i="10"/>
  <c r="H37" i="10"/>
  <c r="R41" i="10"/>
  <c r="T44" i="10"/>
  <c r="R45" i="10"/>
  <c r="T48" i="10"/>
  <c r="R44" i="10"/>
  <c r="R48" i="10"/>
  <c r="Q45" i="10"/>
  <c r="S48" i="10"/>
  <c r="E23" i="10"/>
  <c r="H30" i="10"/>
  <c r="E34" i="10"/>
  <c r="S41" i="10"/>
  <c r="O43" i="10" a="1"/>
  <c r="O43" i="10" s="1"/>
  <c r="X43" i="10" s="1"/>
  <c r="S45" i="10"/>
  <c r="Q46" i="10"/>
  <c r="O47" i="10" a="1"/>
  <c r="O47" i="10" s="1"/>
  <c r="H36" i="10"/>
  <c r="S43" i="10"/>
  <c r="H34" i="10"/>
  <c r="T41" i="10"/>
  <c r="R42" i="10"/>
  <c r="R46" i="10"/>
  <c r="H16" i="10"/>
  <c r="H27" i="10"/>
  <c r="S42" i="10"/>
  <c r="Q43" i="10"/>
  <c r="Q47" i="10"/>
  <c r="E13" i="10"/>
  <c r="E24" i="10"/>
  <c r="E21" i="9"/>
  <c r="E37" i="9"/>
  <c r="Q41" i="9"/>
  <c r="O42" i="9" a="1"/>
  <c r="O42" i="9" s="1"/>
  <c r="S44" i="9"/>
  <c r="Q45" i="9"/>
  <c r="O46" i="9" a="1"/>
  <c r="O46" i="9" s="1"/>
  <c r="S48" i="9"/>
  <c r="S43" i="9"/>
  <c r="H15" i="9"/>
  <c r="R41" i="9"/>
  <c r="T44" i="9"/>
  <c r="R45" i="9"/>
  <c r="T48" i="9"/>
  <c r="R48" i="9"/>
  <c r="E23" i="9"/>
  <c r="H30" i="9"/>
  <c r="E34" i="9"/>
  <c r="S41" i="9"/>
  <c r="Q42" i="9"/>
  <c r="O43" i="9" a="1"/>
  <c r="O43" i="9" s="1"/>
  <c r="S45" i="9"/>
  <c r="Q46" i="9"/>
  <c r="O47" i="9" a="1"/>
  <c r="O47" i="9" s="1"/>
  <c r="H29" i="9"/>
  <c r="H23" i="9"/>
  <c r="H34" i="9"/>
  <c r="R42" i="9"/>
  <c r="R46" i="9"/>
  <c r="E11" i="9"/>
  <c r="H16" i="9"/>
  <c r="O44" i="9" a="1"/>
  <c r="O44" i="9" s="1"/>
  <c r="Q44" i="9"/>
  <c r="E13" i="9"/>
  <c r="E11" i="8"/>
  <c r="E21" i="8"/>
  <c r="H29" i="8"/>
  <c r="E33" i="8"/>
  <c r="T43" i="8"/>
  <c r="R44" i="8"/>
  <c r="T47" i="8"/>
  <c r="R48" i="8"/>
  <c r="E37" i="8"/>
  <c r="Q41" i="8"/>
  <c r="O42" i="8" a="1"/>
  <c r="O42" i="8" s="1"/>
  <c r="S44" i="8"/>
  <c r="Q45" i="8"/>
  <c r="O46" i="8" a="1"/>
  <c r="O46" i="8" s="1"/>
  <c r="S48" i="8"/>
  <c r="E19" i="8"/>
  <c r="R41" i="8"/>
  <c r="R45" i="8"/>
  <c r="T48" i="8"/>
  <c r="E23" i="8"/>
  <c r="H30" i="8"/>
  <c r="E34" i="8"/>
  <c r="O43" i="8" a="1"/>
  <c r="O43" i="8" s="1"/>
  <c r="O47" i="8" a="1"/>
  <c r="O47" i="8" s="1"/>
  <c r="Q44" i="8"/>
  <c r="H12" i="8"/>
  <c r="H23" i="8"/>
  <c r="H34" i="8"/>
  <c r="R42" i="8"/>
  <c r="R46" i="8"/>
  <c r="H16" i="8"/>
  <c r="E13" i="8"/>
  <c r="Q44" i="7"/>
  <c r="Q48" i="7"/>
  <c r="H23" i="7"/>
  <c r="E26" i="7"/>
  <c r="E34" i="7"/>
  <c r="T43" i="7"/>
  <c r="R44" i="7"/>
  <c r="T47" i="7"/>
  <c r="R48" i="7"/>
  <c r="H36" i="7"/>
  <c r="E13" i="7"/>
  <c r="H18" i="7"/>
  <c r="E21" i="7"/>
  <c r="H34" i="7"/>
  <c r="E37" i="7"/>
  <c r="Q41" i="7"/>
  <c r="O42" i="7" a="1"/>
  <c r="O42" i="7" s="1"/>
  <c r="S44" i="7"/>
  <c r="Q45" i="7"/>
  <c r="O46" i="7" a="1"/>
  <c r="O46" i="7" s="1"/>
  <c r="S48" i="7"/>
  <c r="H29" i="7"/>
  <c r="E32" i="7"/>
  <c r="H37" i="7"/>
  <c r="R41" i="7"/>
  <c r="T44" i="7"/>
  <c r="R45" i="7"/>
  <c r="T48" i="7"/>
  <c r="H16" i="7"/>
  <c r="O43" i="7" a="1"/>
  <c r="O43" i="7" s="1"/>
  <c r="O47" i="7" a="1"/>
  <c r="O47" i="7" s="1"/>
  <c r="H11" i="7"/>
  <c r="H19" i="7"/>
  <c r="H35" i="7"/>
  <c r="R42" i="7"/>
  <c r="R46" i="7"/>
  <c r="Q43" i="7"/>
  <c r="Q47" i="7"/>
  <c r="E12" i="7"/>
  <c r="H13" i="6"/>
  <c r="E17" i="6"/>
  <c r="O41" i="6" a="1"/>
  <c r="O41" i="6" s="1"/>
  <c r="S43" i="6"/>
  <c r="Q44" i="6"/>
  <c r="S47" i="6"/>
  <c r="Q48" i="6"/>
  <c r="Q45" i="6"/>
  <c r="E11" i="6"/>
  <c r="E21" i="6"/>
  <c r="E33" i="6"/>
  <c r="T43" i="6"/>
  <c r="R44" i="6"/>
  <c r="T47" i="6"/>
  <c r="R48" i="6"/>
  <c r="H37" i="6"/>
  <c r="R41" i="6"/>
  <c r="T44" i="6"/>
  <c r="R45" i="6"/>
  <c r="S41" i="6"/>
  <c r="Q42" i="6"/>
  <c r="O43" i="6" a="1"/>
  <c r="O43" i="6" s="1"/>
  <c r="S45" i="6"/>
  <c r="O47" i="6" a="1"/>
  <c r="O47" i="6" s="1"/>
  <c r="Q41" i="6"/>
  <c r="R42" i="6"/>
  <c r="H27" i="6"/>
  <c r="Q43" i="6"/>
  <c r="S46" i="6"/>
  <c r="Q47" i="6"/>
  <c r="E24" i="6"/>
  <c r="Q44" i="5"/>
  <c r="E26" i="5"/>
  <c r="T43" i="5"/>
  <c r="R48" i="5"/>
  <c r="E13" i="5"/>
  <c r="H18" i="5"/>
  <c r="E21" i="5"/>
  <c r="H34" i="5"/>
  <c r="E37" i="5"/>
  <c r="Q41" i="5"/>
  <c r="O42" i="5" a="1"/>
  <c r="O42" i="5" s="1"/>
  <c r="S44" i="5"/>
  <c r="Q45" i="5"/>
  <c r="O46" i="5" a="1"/>
  <c r="O46" i="5" s="1"/>
  <c r="S48" i="5"/>
  <c r="E34" i="5"/>
  <c r="H29" i="5"/>
  <c r="H37" i="5"/>
  <c r="R41" i="5"/>
  <c r="T44" i="5"/>
  <c r="R45" i="5"/>
  <c r="T48" i="5"/>
  <c r="R44" i="5"/>
  <c r="E11" i="5"/>
  <c r="H16" i="5"/>
  <c r="S41" i="5"/>
  <c r="O43" i="5" a="1"/>
  <c r="O43" i="5" s="1"/>
  <c r="S45" i="5"/>
  <c r="O47" i="5" a="1"/>
  <c r="O47" i="5" s="1"/>
  <c r="H11" i="5"/>
  <c r="H19" i="5"/>
  <c r="R42" i="5"/>
  <c r="R46" i="5"/>
  <c r="X47" i="6" l="1"/>
  <c r="X47" i="11"/>
  <c r="X46" i="15"/>
  <c r="X47" i="22"/>
  <c r="X47" i="25"/>
  <c r="X41" i="11"/>
  <c r="X43" i="12"/>
  <c r="X44" i="26"/>
  <c r="X46" i="27"/>
  <c r="X46" i="7"/>
  <c r="X45" i="15"/>
  <c r="X41" i="22"/>
  <c r="X42" i="8"/>
  <c r="X43" i="9"/>
  <c r="X47" i="18"/>
  <c r="X45" i="27"/>
  <c r="X43" i="29"/>
  <c r="X42" i="25"/>
  <c r="X41" i="12"/>
  <c r="X43" i="5"/>
  <c r="X42" i="14"/>
  <c r="X41" i="21"/>
  <c r="X46" i="25"/>
  <c r="X47" i="28"/>
  <c r="X41" i="13"/>
  <c r="X43" i="19"/>
  <c r="X41" i="20"/>
  <c r="X43" i="30"/>
  <c r="X41" i="30"/>
  <c r="X46" i="30"/>
  <c r="X47" i="30"/>
  <c r="X45" i="30"/>
  <c r="X44" i="30"/>
  <c r="X42" i="29"/>
  <c r="X41" i="29"/>
  <c r="X46" i="29"/>
  <c r="X45" i="29"/>
  <c r="X44" i="29"/>
  <c r="X44" i="28"/>
  <c r="X43" i="28"/>
  <c r="X42" i="28"/>
  <c r="X41" i="28"/>
  <c r="X46" i="28"/>
  <c r="X45" i="28"/>
  <c r="X47" i="27"/>
  <c r="X41" i="27"/>
  <c r="X42" i="27"/>
  <c r="X44" i="27"/>
  <c r="X43" i="27"/>
  <c r="X42" i="26"/>
  <c r="X41" i="26"/>
  <c r="X47" i="26"/>
  <c r="X43" i="26"/>
  <c r="X45" i="26"/>
  <c r="X45" i="25"/>
  <c r="X43" i="25"/>
  <c r="X44" i="25"/>
  <c r="X42" i="22"/>
  <c r="X46" i="22"/>
  <c r="X43" i="22"/>
  <c r="X45" i="22"/>
  <c r="X44" i="22"/>
  <c r="X47" i="21"/>
  <c r="X46" i="21"/>
  <c r="X44" i="21"/>
  <c r="X43" i="21"/>
  <c r="X45" i="21"/>
  <c r="X42" i="21"/>
  <c r="X42" i="20"/>
  <c r="X43" i="20"/>
  <c r="X47" i="20"/>
  <c r="X45" i="20"/>
  <c r="X44" i="20"/>
  <c r="X42" i="19"/>
  <c r="X47" i="19"/>
  <c r="X46" i="19"/>
  <c r="X41" i="19"/>
  <c r="X45" i="19"/>
  <c r="X42" i="18"/>
  <c r="X43" i="18"/>
  <c r="X41" i="18"/>
  <c r="X46" i="18"/>
  <c r="X44" i="18"/>
  <c r="X43" i="17"/>
  <c r="X42" i="17"/>
  <c r="X47" i="17"/>
  <c r="X41" i="17"/>
  <c r="X46" i="17"/>
  <c r="X45" i="17"/>
  <c r="X42" i="16"/>
  <c r="X43" i="16"/>
  <c r="X47" i="16"/>
  <c r="X41" i="16"/>
  <c r="X45" i="16"/>
  <c r="X44" i="16"/>
  <c r="X47" i="15"/>
  <c r="X41" i="15"/>
  <c r="X43" i="15"/>
  <c r="X42" i="15"/>
  <c r="X44" i="15"/>
  <c r="X46" i="14"/>
  <c r="X48" i="14"/>
  <c r="X41" i="14"/>
  <c r="X43" i="14"/>
  <c r="X47" i="14"/>
  <c r="X45" i="14"/>
  <c r="X44" i="14"/>
  <c r="X45" i="13"/>
  <c r="X48" i="13"/>
  <c r="X46" i="13"/>
  <c r="X47" i="13"/>
  <c r="X44" i="13"/>
  <c r="X43" i="13"/>
  <c r="X42" i="13"/>
  <c r="X48" i="12"/>
  <c r="X46" i="12"/>
  <c r="X44" i="12"/>
  <c r="X45" i="12"/>
  <c r="X47" i="12"/>
  <c r="X42" i="12"/>
  <c r="X43" i="11"/>
  <c r="X42" i="11"/>
  <c r="X48" i="11"/>
  <c r="X46" i="11"/>
  <c r="X45" i="11"/>
  <c r="X44" i="11"/>
  <c r="X41" i="10"/>
  <c r="X46" i="10"/>
  <c r="X47" i="10"/>
  <c r="X45" i="10"/>
  <c r="X44" i="10"/>
  <c r="X42" i="10"/>
  <c r="X42" i="9"/>
  <c r="X44" i="9"/>
  <c r="X47" i="9"/>
  <c r="X41" i="9"/>
  <c r="X46" i="9"/>
  <c r="X45" i="9"/>
  <c r="X47" i="8"/>
  <c r="X41" i="8"/>
  <c r="X43" i="8"/>
  <c r="X45" i="8"/>
  <c r="X46" i="8"/>
  <c r="X44" i="8"/>
  <c r="X42" i="7"/>
  <c r="X48" i="7"/>
  <c r="X47" i="7"/>
  <c r="X41" i="7"/>
  <c r="X43" i="7"/>
  <c r="X45" i="7"/>
  <c r="X44" i="7"/>
  <c r="X46" i="6"/>
  <c r="X41" i="6"/>
  <c r="X45" i="6"/>
  <c r="X43" i="6"/>
  <c r="X44" i="6"/>
  <c r="X42" i="6"/>
  <c r="X42" i="5"/>
  <c r="X48" i="5"/>
  <c r="X41" i="5"/>
  <c r="X46" i="5"/>
  <c r="X45" i="5"/>
  <c r="X47" i="5"/>
  <c r="X4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<sst xmlns="http://schemas.openxmlformats.org/spreadsheetml/2006/main" count="3360" uniqueCount="371">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</sst>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3BC9C6B5-4B1B-4A9B-B163-7897F7A55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03853E-9E46-47CB-999A-F3B60A262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CFFE6F1-0469-4AF0-9359-DFB41D815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4C5E40-8FA6-4078-A4C8-B11F21990AD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F44F2D8-0076-4461-8A8C-5449F8341F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BF26240-8531-4ED3-8D67-9178D4BC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10299B5-7865-46C6-8F13-CA322DBE43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C071E7-F5DD-4616-8195-C4EF80E7E4A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235826D-3190-497D-8909-6A3B1E55365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5ABD56-C24A-4C91-88B8-37F9E8C4D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1000A3A-AFDE-444C-9B95-96F3D5C50D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AC3B59D-365A-4C99-80C9-040D36EFD8B6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C9C0054-321B-4CF3-A090-93DA2CE3BBD0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0344CA-3784-4887-B363-C5CBDA101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6190414-2996-4249-94E8-3DDEFC98E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7FF3F3B-EC7D-49F9-A3E1-7BD3B2F3F11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42D8553-BA14-44A6-8808-266A9400703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3B0EEF-34A5-4B58-9C39-4A8DE3679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2B409D0-7F59-45D6-8467-3B7C92918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92A239A-AF5B-4770-A2BE-5A6E71870CB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9C9276F-447D-4C0A-B725-A5B7C5A65F8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4A76DC-80C8-4D7E-94A8-BF327494C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9A6575C-6591-4922-BD41-79598FABD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D871152-8D46-4FFB-BCF8-0F698603E45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C852C2-7F71-4534-A5E2-14B6E671A39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D85776-0401-4DCD-ADBC-509423DD9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1078AB9-D49B-453E-A88F-8EBADC6E1E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469AB8-7180-4D77-8E47-CD5DBCB29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C3B8AE3-DC36-4698-9518-5D63D5F9EC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856DD7-84C0-4542-A6DA-5A811B298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DE8EDBC-243D-47EC-9BD2-E885EBB3FE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483A81B-C213-4BE2-99DE-6216F0D1FB2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2879F9B-5E3E-4027-8EA8-EA3F0402035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1F7D50-A15A-47DC-BBC3-0CFD603D8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0679F9-BC81-4FEA-BCC1-18D9CD68E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4A5A2-89F1-4455-A251-13116323839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FF3A10C-E42B-4A2D-AD62-E06AECD3729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F44EFA-721E-4DAE-AAB9-D4709D202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FB33D08-02D9-4B46-A874-888FEC5BC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3DCF84-3BBB-4EF0-BC18-0D80FF65D30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293D8F9-841F-4E8C-B051-ACD0107FF77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E6CCFE-F118-4520-90AC-8D8187BA8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5453684-1D18-4DD4-8E86-4317AA3A0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6AB164B-5AB9-44C8-ABD5-63C15D87F1A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E9F99C-BD65-4F10-8D0B-3AF6C6671E5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14E579-2DD0-4F47-9839-D8543BFA4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4618ACA-2757-490C-B772-CF3647D6F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1D1C88-8B93-4E3F-888F-9778F063AA1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5E656A7-9F98-4607-AF88-BC46BBF0D59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3E9784-C40B-4F87-B84A-9B6E6BD21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180E242-4E27-4159-982B-4552390C8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592A2D-FD6E-42FA-9285-E00C964882E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589EB53-116D-4147-9D74-4E8130DAEAB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9FFC80-CF08-443C-9028-73D811FF9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A24ADD3-8446-4477-9D24-291222855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16C48D4-6BC5-4BFD-ACE4-33C5A17BD7B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42D67FC-BE55-4A87-9614-0CC651F0E98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D25C0B2-86FF-4DC0-871D-C4D13F960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64412A7-BCE0-4D85-AC6F-507B6F72A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EA5240D-D9B3-416A-BCB8-2ABB2AB7520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97E82E-5EFA-433A-A646-869150DAE3D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DEEC1D-F2F3-4055-B478-0D8917F05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5838497-6E88-4886-A375-412360174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C6194A-48D4-4617-892A-A19961BB859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DB82961-8B4F-4B9F-8556-93EC65E2C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11CF99E-8DD5-47D2-BB1E-CE8FE47FB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4104FBC-668A-4D2F-863A-206A22E2B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43BC05-CA0C-477D-BD97-8B7EBA7051B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08CB07C-223F-4A13-B27A-C0AB7D48079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B8C486-9EAB-4DEE-BA5B-FCC619AA7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22756F6-8F95-4AD6-B476-90D5DA821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0AF6785-CE3B-4842-967C-418C115C1DA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685121C-9643-44D8-83E4-7ECA5BABDA3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91BCDA-2E25-4157-99A6-EB5BAAFD8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887BC29-0640-445A-9A90-8ECA218D18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9E162BF-60A9-4166-863D-CFA71638A41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9063142-5D61-4F64-93AA-81B385DAC26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8BFBAA-FB8B-4DD9-81F2-18CF3835C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D90056A-CB84-4AAF-AA92-961DAEFD5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831B46-0628-474B-9834-C1DD575FD9C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132C80-80B8-4D4A-B592-4DC643956F4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DF8BB1-19FB-465E-80B0-65FC58F08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4ACD2F8-89A9-4D72-A127-81B18FAF4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FCEBBC-C7DA-4A9E-B579-BB8E1F3855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F70B7E4-4576-4B36-9DFD-AF2F12EC7D7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1499BF-0DE7-4FA6-ADBB-42956615B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4314834-DFC6-4BD2-BB36-61D99D667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0A0806-C048-4CEF-917D-FB689A0E305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573F0B-8278-4C26-BAD5-20002A4E500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2E0142-16A4-4E98-A288-0AA31C2D7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884D70E-1061-4D8B-84E8-33D504D91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6350880-5590-4D1E-85B8-80D8A707327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BDEE81C-799D-4E0C-B2A6-F5EF6273D1D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3A6087-03C9-440C-A5FB-D4C1EA37A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3C083F0-1927-4C46-A603-95BD13BD59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CD171E-1DA0-4936-85B1-AD3A43EA9D7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E6B74AF-E536-4BC1-A179-6C33BC865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9935A5-0BB6-48D9-AE43-168065B10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49CB98D-2021-4147-A82D-395336F16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1A00B7-DDA5-44A8-B4B3-838C071BA17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F282F4A-13CC-4A9C-8721-2BD557B30D9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CFCEA9-36C2-4860-B2A4-6E96FDE73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B062368-1162-49CA-997E-81231F7F7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D8A258C-0A7C-4E27-BCD2-3A07465BDDB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D85F46-637A-4656-A0A2-42521A70D6B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A99B4BD-0A2F-424B-9FA7-F82D1D9BA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D0430FB-FAAD-4ECB-AC20-11D2EC3BBB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ED741C-F20E-4E50-89DF-0F48DBB6C867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7264A16-2A1E-4196-944A-7AA77E5ECD18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D23FBFD-F25C-41FB-9EC3-667AA5F06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499FA8E-3A11-4943-9315-F7AB1A53B5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1927DC6-8109-472D-94E0-81229E2B26E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0A5E53D-F833-42B5-83EC-D6E970FD741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34BFF1C-42BA-47D6-A7FB-7B6584B11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1B84E416-C0AF-4B92-86E3-84E04FF3B7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A3A1EAE-D677-46DC-AD0A-865E8393B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1869856-A41C-4D66-AFAF-AA82D14D53DF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154E8A7-34AE-4E32-A232-92A27AD03615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1B7B9E-A4E1-4CC1-B14F-321ABC2DA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E071F-AE24-44E2-A2A9-3774E1A9584E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0806-EE8B-425F-8A45-5DE6747369DE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B366-E721-4510-B94C-FBA902D019A7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9979-26A3-4CFC-A573-EDB218F72C36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088DC-0B21-46C4-9E01-00145667199B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0</v>
      </c>
      <c r="K26" s="124" t="s">
        <v>294</v>
      </c>
      <c r="L26" s="125">
        <v>0</v>
      </c>
      <c r="M26" s="126" t="str">
        <f>Scheids!$F$6</f>
        <v>Guus Heemskerk</v>
      </c>
      <c r="N26" s="127"/>
      <c r="O26" s="128"/>
      <c r="Q26" s="129">
        <v>1</v>
      </c>
      <c r="R26" s="129">
        <v>1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0</v>
      </c>
      <c r="M27" s="126" t="str">
        <f>Scheids!$F$6</f>
        <v>Guus Heemskerk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0</v>
      </c>
      <c r="M28" s="126" t="str">
        <f>Scheids!$F$6</f>
        <v>Guus Heemskerk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3</v>
      </c>
      <c r="K29" s="124" t="s">
        <v>294</v>
      </c>
      <c r="L29" s="125">
        <v>0</v>
      </c>
      <c r="M29" s="126" t="str">
        <f>Scheids!$D$6</f>
        <v>Ruud van Oosten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3</v>
      </c>
      <c r="K30" s="124" t="s">
        <v>294</v>
      </c>
      <c r="L30" s="125">
        <v>0</v>
      </c>
      <c r="M30" s="126" t="str">
        <f>Scheids!$D$6</f>
        <v>Ruud van Oosten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0</v>
      </c>
      <c r="K31" s="124" t="s">
        <v>294</v>
      </c>
      <c r="L31" s="125">
        <v>0</v>
      </c>
      <c r="M31" s="126" t="str">
        <f>Scheids!$D$6</f>
        <v>Ruud van Oosten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>
        <v>0</v>
      </c>
      <c r="K32" s="124" t="s">
        <v>294</v>
      </c>
      <c r="L32" s="125">
        <v>6</v>
      </c>
      <c r="M32" s="126" t="str">
        <f>Scheids!$F$6</f>
        <v>Guus Heemskerk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>
        <v>1</v>
      </c>
      <c r="K33" s="124" t="s">
        <v>294</v>
      </c>
      <c r="L33" s="125">
        <v>0</v>
      </c>
      <c r="M33" s="126" t="str">
        <f>Scheids!$F$6</f>
        <v>Guus Heemskerk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>
        <v>0</v>
      </c>
      <c r="K34" s="124" t="s">
        <v>294</v>
      </c>
      <c r="L34" s="125">
        <v>3</v>
      </c>
      <c r="M34" s="126" t="str">
        <f>Scheids!$F$6</f>
        <v>Guus Heemskerk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>
        <v>1</v>
      </c>
      <c r="K35" s="124" t="s">
        <v>294</v>
      </c>
      <c r="L35" s="125">
        <v>2</v>
      </c>
      <c r="M35" s="126" t="str">
        <f>Scheids!$D$6</f>
        <v>Ruud van Oosten</v>
      </c>
      <c r="N35" s="127"/>
      <c r="O35" s="128"/>
      <c r="Q35" s="129">
        <v>2</v>
      </c>
      <c r="R35" s="129">
        <v>2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>
        <v>3</v>
      </c>
      <c r="K36" s="124" t="s">
        <v>294</v>
      </c>
      <c r="L36" s="125">
        <v>0</v>
      </c>
      <c r="M36" s="126" t="str">
        <f>Scheids!$D$6</f>
        <v>Ruud van Oosten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>
        <v>0</v>
      </c>
      <c r="K37" s="124" t="s">
        <v>294</v>
      </c>
      <c r="L37" s="125">
        <v>2</v>
      </c>
      <c r="M37" s="126" t="str">
        <f>Scheids!$F$6</f>
        <v>Guus Heemskerk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>
        <v>4</v>
      </c>
      <c r="K38" s="139" t="s">
        <v>294</v>
      </c>
      <c r="L38" s="140">
        <v>1</v>
      </c>
      <c r="M38" s="141" t="str">
        <f>Scheids!$F$6</f>
        <v>Guus Heemskerk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7</v>
      </c>
      <c r="R41" s="152">
        <f>COUNTIFS(E41:N41,3)</f>
        <v>0</v>
      </c>
      <c r="S41" s="152">
        <f>COUNTIFS(E41:N41,0)</f>
        <v>7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21</v>
      </c>
      <c r="W41" s="152">
        <f>Q11+R18+Q21+Q23+R29+Q34+R36</f>
        <v>13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3</v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7</v>
      </c>
      <c r="R42" s="152">
        <f t="shared" ref="R42:R48" si="2">COUNTIFS(E42:N42,3)</f>
        <v>6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13</v>
      </c>
      <c r="V42" s="152">
        <f>J11+L15+J19+L25+L28+L33+J37</f>
        <v>3</v>
      </c>
      <c r="W42" s="152">
        <f>R11+Q15+R19+Q25+Q28+Q33+R37</f>
        <v>12</v>
      </c>
      <c r="X42" s="129">
        <f t="shared" si="1"/>
        <v>2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3</v>
      </c>
      <c r="O43" s="157" cm="1">
        <f t="array" ref="O43">IF(SUMPRODUCT(--(E43:N43&lt;&gt;""))&lt;&gt;0,SUM(E43:N43),"")</f>
        <v>10</v>
      </c>
      <c r="Q43" s="152">
        <f t="shared" si="0"/>
        <v>7</v>
      </c>
      <c r="R43" s="152">
        <f t="shared" si="2"/>
        <v>3</v>
      </c>
      <c r="S43" s="152">
        <f t="shared" si="3"/>
        <v>3</v>
      </c>
      <c r="T43" s="152">
        <f t="shared" si="4"/>
        <v>1</v>
      </c>
      <c r="U43" s="152">
        <f>J12+L15+J20+L23+J27+J32+L35</f>
        <v>6</v>
      </c>
      <c r="V43" s="152">
        <f>L12+J15+L20+J23+L27+L32+J35</f>
        <v>12</v>
      </c>
      <c r="W43" s="152">
        <f>Q12+R15+Q20+R23+Q27+Q32+R35</f>
        <v>12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58"/>
      <c r="M44" s="156">
        <f>IF(AND($J$31&lt;&gt;"",$L$31&lt;&gt;""),IF($J$31&lt;$L$31,3,IF($J$31=$L$31,1,0)),"")</f>
        <v>1</v>
      </c>
      <c r="N44" s="157">
        <f>IF(AND($J$38&lt;&gt;"",$L$38&lt;&gt;""),IF($J$38&lt;$L$38,3,IF($J$38=$L$38,1,0)),"")</f>
        <v>0</v>
      </c>
      <c r="O44" s="157" cm="1">
        <f t="array" ref="O44">IF(SUMPRODUCT(--(E44:N44&lt;&gt;""))&lt;&gt;0,SUM(E44:N44),"")</f>
        <v>13</v>
      </c>
      <c r="Q44" s="152">
        <f t="shared" si="0"/>
        <v>7</v>
      </c>
      <c r="R44" s="152">
        <f t="shared" si="2"/>
        <v>4</v>
      </c>
      <c r="S44" s="152">
        <f t="shared" si="3"/>
        <v>2</v>
      </c>
      <c r="T44" s="152">
        <f t="shared" si="4"/>
        <v>1</v>
      </c>
      <c r="U44" s="152">
        <f>L12+J16+J19+L24+J29+L31+L38</f>
        <v>9</v>
      </c>
      <c r="V44" s="152">
        <f>J12+L16+L19+J24+L29+J31+J38</f>
        <v>7</v>
      </c>
      <c r="W44" s="152">
        <f>R12+Q16+Q19+R24+Q29+R31+R38</f>
        <v>13</v>
      </c>
      <c r="X44" s="129">
        <f t="shared" si="1"/>
        <v>3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1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5</v>
      </c>
      <c r="Q45" s="152">
        <f t="shared" si="0"/>
        <v>7</v>
      </c>
      <c r="R45" s="152">
        <f t="shared" si="2"/>
        <v>1</v>
      </c>
      <c r="S45" s="152">
        <f t="shared" si="3"/>
        <v>4</v>
      </c>
      <c r="T45" s="152">
        <f t="shared" si="4"/>
        <v>2</v>
      </c>
      <c r="U45" s="152">
        <f>J13+L16+L20+J26+L30+L34+J37</f>
        <v>3</v>
      </c>
      <c r="V45" s="152">
        <f>L13+J16+J20+L26+J30+J34+L37</f>
        <v>8</v>
      </c>
      <c r="W45" s="152">
        <f>Q13+R16+R20+Q26+R30+R34+Q37</f>
        <v>11</v>
      </c>
      <c r="X45" s="129">
        <f t="shared" si="1"/>
        <v>7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7</v>
      </c>
      <c r="Q46" s="152">
        <f t="shared" si="0"/>
        <v>7</v>
      </c>
      <c r="R46" s="152">
        <f t="shared" si="2"/>
        <v>2</v>
      </c>
      <c r="S46" s="152">
        <f t="shared" si="3"/>
        <v>4</v>
      </c>
      <c r="T46" s="152">
        <f t="shared" si="4"/>
        <v>1</v>
      </c>
      <c r="U46" s="152">
        <f>L13+J17+J22+J24+L27+L33+J36</f>
        <v>5</v>
      </c>
      <c r="V46" s="152">
        <f>J13+L17+L22+L24+J27+J33+L36</f>
        <v>6</v>
      </c>
      <c r="W46" s="152">
        <f>R13+Q17+Q22+Q24+R27+R33+Q36</f>
        <v>13</v>
      </c>
      <c r="X46" s="129">
        <f t="shared" si="1"/>
        <v>5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3</v>
      </c>
      <c r="O47" s="157" cm="1">
        <f t="array" ref="O47">IF(SUMPRODUCT(--(E47:N47&lt;&gt;""))&lt;&gt;0,SUM(E47:N47),"")</f>
        <v>21</v>
      </c>
      <c r="Q47" s="152">
        <f t="shared" si="0"/>
        <v>7</v>
      </c>
      <c r="R47" s="152">
        <f t="shared" si="2"/>
        <v>7</v>
      </c>
      <c r="S47" s="152">
        <f t="shared" si="3"/>
        <v>0</v>
      </c>
      <c r="T47" s="152">
        <f t="shared" si="4"/>
        <v>0</v>
      </c>
      <c r="U47" s="152">
        <f>J14+L17+L21+L25+J30+L32+J38</f>
        <v>27</v>
      </c>
      <c r="V47" s="152">
        <f>L14+J17+J21+J25+L30+J32+L38</f>
        <v>1</v>
      </c>
      <c r="W47" s="152">
        <f>Q14+R17+R21+R25+Q30+R32+Q38</f>
        <v>12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1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1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6</v>
      </c>
      <c r="Q48" s="152">
        <f t="shared" si="0"/>
        <v>7</v>
      </c>
      <c r="R48" s="152">
        <f t="shared" si="2"/>
        <v>1</v>
      </c>
      <c r="S48" s="152">
        <f t="shared" si="3"/>
        <v>3</v>
      </c>
      <c r="T48" s="152">
        <f t="shared" si="4"/>
        <v>3</v>
      </c>
      <c r="U48" s="152">
        <f>L14+J18+L22+L26+L28+J31+J35</f>
        <v>4</v>
      </c>
      <c r="V48" s="152">
        <f>J14+L18+J22+J26+J28+L31+L35</f>
        <v>9</v>
      </c>
      <c r="W48" s="152">
        <f>+R14+Q18+R22+R26+R28+Q31+Q35</f>
        <v>12</v>
      </c>
      <c r="X48" s="129">
        <f t="shared" si="1"/>
        <v>6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74BB-4DAB-48AA-8999-B39E8D07DBD4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>
        <v>3</v>
      </c>
      <c r="K11" s="110" t="s">
        <v>294</v>
      </c>
      <c r="L11" s="111">
        <v>0</v>
      </c>
      <c r="M11" s="112" t="str">
        <f>Scheids!$D$7</f>
        <v>Marcel de Letter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0</v>
      </c>
      <c r="K13" s="124" t="s">
        <v>294</v>
      </c>
      <c r="L13" s="125">
        <v>5</v>
      </c>
      <c r="M13" s="126" t="str">
        <f>Scheids!$D$7</f>
        <v>Marcel de Letter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0</v>
      </c>
      <c r="K27" s="124" t="s">
        <v>294</v>
      </c>
      <c r="L27" s="125">
        <v>5</v>
      </c>
      <c r="M27" s="126" t="str">
        <f>Scheids!$D$7</f>
        <v>Marcel de Letter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0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0</v>
      </c>
      <c r="K30" s="124" t="s">
        <v>294</v>
      </c>
      <c r="L30" s="125">
        <v>0</v>
      </c>
      <c r="M30" s="126" t="str">
        <f>Scheids!$D$7</f>
        <v>Marcel de Letter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>
        <v>0</v>
      </c>
      <c r="K32" s="124" t="s">
        <v>294</v>
      </c>
      <c r="L32" s="125">
        <v>0</v>
      </c>
      <c r="M32" s="126" t="str">
        <f>Scheids!$F$7</f>
        <v>Gerard Zoet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>
        <v>0</v>
      </c>
      <c r="K33" s="124" t="s">
        <v>294</v>
      </c>
      <c r="L33" s="125">
        <v>2</v>
      </c>
      <c r="M33" s="126" t="str">
        <f>Scheids!$F$7</f>
        <v>Gerard Zoet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>
        <v>2</v>
      </c>
      <c r="K34" s="124" t="s">
        <v>294</v>
      </c>
      <c r="L34" s="125">
        <v>0</v>
      </c>
      <c r="M34" s="126" t="str">
        <f>Scheids!$F$7</f>
        <v>Gerard Zoet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>
        <v>1</v>
      </c>
      <c r="K36" s="124" t="s">
        <v>294</v>
      </c>
      <c r="L36" s="125">
        <v>0</v>
      </c>
      <c r="M36" s="126" t="str">
        <f>Scheids!$D$7</f>
        <v>Marcel de Letter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>
        <v>0</v>
      </c>
      <c r="K37" s="124" t="s">
        <v>294</v>
      </c>
      <c r="L37" s="125">
        <v>1</v>
      </c>
      <c r="M37" s="126" t="str">
        <f>Scheids!$F$7</f>
        <v>Gerard Zoet</v>
      </c>
      <c r="N37" s="127"/>
      <c r="O37" s="128"/>
      <c r="Q37" s="129">
        <v>2</v>
      </c>
      <c r="R37" s="129">
        <v>2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>
        <v>1</v>
      </c>
      <c r="K38" s="139" t="s">
        <v>294</v>
      </c>
      <c r="L38" s="140">
        <v>2</v>
      </c>
      <c r="M38" s="141" t="str">
        <f>Scheids!$F$7</f>
        <v>Gerard Zoet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12</v>
      </c>
      <c r="V41" s="152">
        <f>L11+J18+L21+L23+J29+L34+J36</f>
        <v>1</v>
      </c>
      <c r="W41" s="152">
        <f>Q11+R18+Q21+Q23+R29+Q34+R36</f>
        <v>8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4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4</v>
      </c>
      <c r="T42" s="152">
        <f t="shared" ref="T42:T48" si="4">COUNTIFS(E42:N42,1)</f>
        <v>1</v>
      </c>
      <c r="U42" s="152">
        <f>L11+J15+L19+J25+J28+J33+L37</f>
        <v>1</v>
      </c>
      <c r="V42" s="152">
        <f>J11+L15+J19+L25+L28+L33+J37</f>
        <v>7</v>
      </c>
      <c r="W42" s="152">
        <f>R11+Q15+R19+Q25+Q28+Q33+R37</f>
        <v>10</v>
      </c>
      <c r="X42" s="129">
        <f t="shared" si="1"/>
        <v>5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0</v>
      </c>
      <c r="S43" s="152">
        <f t="shared" si="3"/>
        <v>2</v>
      </c>
      <c r="T43" s="152">
        <f t="shared" si="4"/>
        <v>4</v>
      </c>
      <c r="U43" s="152">
        <f>J12+L15+J20+L23+J27+J32+L35</f>
        <v>0</v>
      </c>
      <c r="V43" s="152">
        <f>L12+J15+L20+J23+L27+L32+J35</f>
        <v>8</v>
      </c>
      <c r="W43" s="152">
        <f>Q12+R15+Q20+R23+Q27+Q32+R35</f>
        <v>9</v>
      </c>
      <c r="X43" s="129">
        <f t="shared" si="1"/>
        <v>5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11</v>
      </c>
      <c r="Q44" s="152">
        <f t="shared" si="0"/>
        <v>6</v>
      </c>
      <c r="R44" s="152">
        <f t="shared" si="2"/>
        <v>3</v>
      </c>
      <c r="S44" s="152">
        <f t="shared" si="3"/>
        <v>1</v>
      </c>
      <c r="T44" s="152">
        <f t="shared" si="4"/>
        <v>2</v>
      </c>
      <c r="U44" s="152">
        <f>L12+J16+J19+L24+J29+L31+L38</f>
        <v>4</v>
      </c>
      <c r="V44" s="152">
        <f>J12+L16+L19+J24+L29+J31+J38</f>
        <v>3</v>
      </c>
      <c r="W44" s="152">
        <f>R12+Q16+Q19+R24+Q29+R31+R38</f>
        <v>9</v>
      </c>
      <c r="X44" s="129">
        <f t="shared" si="1"/>
        <v>3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0</v>
      </c>
      <c r="V45" s="152">
        <f>L13+J16+J20+L26+J30+J34+L37</f>
        <v>9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16</v>
      </c>
      <c r="Q46" s="152">
        <f t="shared" si="0"/>
        <v>6</v>
      </c>
      <c r="R46" s="152">
        <f t="shared" si="2"/>
        <v>5</v>
      </c>
      <c r="S46" s="152">
        <f t="shared" si="3"/>
        <v>0</v>
      </c>
      <c r="T46" s="152">
        <f t="shared" si="4"/>
        <v>1</v>
      </c>
      <c r="U46" s="152">
        <f>L13+J17+J22+J24+L27+L33+J36</f>
        <v>16</v>
      </c>
      <c r="V46" s="152">
        <f>J13+L17+L22+L24+J27+J33+L36</f>
        <v>0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5</v>
      </c>
      <c r="Q47" s="152">
        <f t="shared" si="0"/>
        <v>6</v>
      </c>
      <c r="R47" s="152">
        <f t="shared" si="2"/>
        <v>1</v>
      </c>
      <c r="S47" s="152">
        <f t="shared" si="3"/>
        <v>3</v>
      </c>
      <c r="T47" s="152">
        <f t="shared" si="4"/>
        <v>2</v>
      </c>
      <c r="U47" s="152">
        <f>J14+L17+L21+L25+J30+L32+J38</f>
        <v>2</v>
      </c>
      <c r="V47" s="152">
        <f>L14+J17+J21+J25+L30+J32+L38</f>
        <v>7</v>
      </c>
      <c r="W47" s="152">
        <f>Q14+R17+R21+R25+Q30+R32+Q38</f>
        <v>10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844E7-03DB-474D-9798-1A2C27CB6EF7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2</v>
      </c>
      <c r="K26" s="124" t="s">
        <v>294</v>
      </c>
      <c r="L26" s="125">
        <v>0</v>
      </c>
      <c r="M26" s="126" t="str">
        <f>Scheids!$F$8</f>
        <v>Marcel den Os</v>
      </c>
      <c r="N26" s="127"/>
      <c r="O26" s="128"/>
      <c r="Q26" s="129">
        <v>1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5</v>
      </c>
      <c r="K27" s="124" t="s">
        <v>294</v>
      </c>
      <c r="L27" s="125">
        <v>0</v>
      </c>
      <c r="M27" s="126" t="str">
        <f>Scheids!$F$8</f>
        <v>Marcel den Os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2</v>
      </c>
      <c r="K28" s="124" t="s">
        <v>294</v>
      </c>
      <c r="L28" s="125">
        <v>0</v>
      </c>
      <c r="M28" s="126" t="str">
        <f>Scheids!$F$8</f>
        <v>Marcel den Os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0</v>
      </c>
      <c r="K29" s="124" t="s">
        <v>294</v>
      </c>
      <c r="L29" s="125">
        <v>4</v>
      </c>
      <c r="M29" s="126" t="str">
        <f>Scheids!$D$8</f>
        <v>Louis vd Weijde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0</v>
      </c>
      <c r="K30" s="124" t="s">
        <v>294</v>
      </c>
      <c r="L30" s="125">
        <v>3</v>
      </c>
      <c r="M30" s="126" t="str">
        <f>Scheids!$D$8</f>
        <v>Louis vd Weijde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0</v>
      </c>
      <c r="M31" s="126" t="str">
        <f>Scheids!$D$8</f>
        <v>Louis vd Weijde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>
        <v>3</v>
      </c>
      <c r="K32" s="124" t="s">
        <v>294</v>
      </c>
      <c r="L32" s="125">
        <v>1</v>
      </c>
      <c r="M32" s="126" t="str">
        <f>Scheids!$F$8</f>
        <v>Marcel den Os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>
        <v>0</v>
      </c>
      <c r="K33" s="124" t="s">
        <v>294</v>
      </c>
      <c r="L33" s="125">
        <v>0</v>
      </c>
      <c r="M33" s="126" t="str">
        <f>Scheids!$F$8</f>
        <v>Marcel den Os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>
        <v>0</v>
      </c>
      <c r="K34" s="124" t="s">
        <v>294</v>
      </c>
      <c r="L34" s="125">
        <v>2</v>
      </c>
      <c r="M34" s="126" t="str">
        <f>Scheids!$F$8</f>
        <v>Marcel den Os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>
        <v>0</v>
      </c>
      <c r="K35" s="124" t="s">
        <v>294</v>
      </c>
      <c r="L35" s="125">
        <v>2</v>
      </c>
      <c r="M35" s="126" t="str">
        <f>Scheids!$D$8</f>
        <v>Louis vd Weijde</v>
      </c>
      <c r="N35" s="127"/>
      <c r="O35" s="128"/>
      <c r="Q35" s="129">
        <v>1</v>
      </c>
      <c r="R35" s="129">
        <v>1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>
        <v>4</v>
      </c>
      <c r="K36" s="124" t="s">
        <v>294</v>
      </c>
      <c r="L36" s="125">
        <v>1</v>
      </c>
      <c r="M36" s="126" t="str">
        <f>Scheids!$D$8</f>
        <v>Louis vd Weijde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>
        <v>3</v>
      </c>
      <c r="K37" s="124" t="s">
        <v>294</v>
      </c>
      <c r="L37" s="125">
        <v>0</v>
      </c>
      <c r="M37" s="126" t="str">
        <f>Scheids!$F$8</f>
        <v>Marcel den Os</v>
      </c>
      <c r="N37" s="127"/>
      <c r="O37" s="128"/>
      <c r="Q37" s="129">
        <v>0</v>
      </c>
      <c r="R37" s="129">
        <v>2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>
        <v>3</v>
      </c>
      <c r="K38" s="139" t="s">
        <v>294</v>
      </c>
      <c r="L38" s="140">
        <v>0</v>
      </c>
      <c r="M38" s="141" t="str">
        <f>Scheids!$F$8</f>
        <v>Marcel den Os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13</v>
      </c>
      <c r="Q41" s="152">
        <f t="shared" ref="Q41:Q48" si="0">COUNT(E41:N41)</f>
        <v>7</v>
      </c>
      <c r="R41" s="152">
        <f>COUNTIFS(E41:N41,3)</f>
        <v>4</v>
      </c>
      <c r="S41" s="152">
        <f>COUNTIFS(E41:N41,0)</f>
        <v>2</v>
      </c>
      <c r="T41" s="152">
        <f>COUNTIFS(E41:N41,1)</f>
        <v>1</v>
      </c>
      <c r="U41" s="152">
        <f>J11+L18+J21+J23+L29+J34+L36</f>
        <v>17</v>
      </c>
      <c r="V41" s="152">
        <f>L11+J18+L21+L23+J29+L34+J36</f>
        <v>11</v>
      </c>
      <c r="W41" s="152">
        <f>Q11+R18+Q21+Q23+R29+Q34+R36</f>
        <v>9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3</v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7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4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16</v>
      </c>
      <c r="W42" s="152">
        <f>R11+Q15+R19+Q25+Q28+Q33+R37</f>
        <v>11</v>
      </c>
      <c r="X42" s="129">
        <f t="shared" si="1"/>
        <v>6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3</v>
      </c>
      <c r="N43" s="170">
        <f>IF(AND($J$35&lt;&gt;"",$L$35&lt;&gt;""),IF($J$35&lt;$L$35,3,IF($J$35=$L$35,1,0)),"")</f>
        <v>3</v>
      </c>
      <c r="O43" s="157" cm="1">
        <f t="array" ref="O43">IF(SUMPRODUCT(--(E43:N43&lt;&gt;""))&lt;&gt;0,SUM(E43:N43),"")</f>
        <v>16</v>
      </c>
      <c r="Q43" s="152">
        <f t="shared" si="0"/>
        <v>7</v>
      </c>
      <c r="R43" s="152">
        <f t="shared" si="2"/>
        <v>5</v>
      </c>
      <c r="S43" s="152">
        <f t="shared" si="3"/>
        <v>1</v>
      </c>
      <c r="T43" s="152">
        <f t="shared" si="4"/>
        <v>1</v>
      </c>
      <c r="U43" s="152">
        <f>J12+L15+J20+L23+J27+J32+L35</f>
        <v>21</v>
      </c>
      <c r="V43" s="152">
        <f>L12+J15+L20+J23+L27+L32+J35</f>
        <v>7</v>
      </c>
      <c r="W43" s="152">
        <f>Q12+R15+Q20+R23+Q27+Q32+R35</f>
        <v>11</v>
      </c>
      <c r="X43" s="129">
        <f t="shared" si="1"/>
        <v>2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0</v>
      </c>
      <c r="N44" s="157">
        <f>IF(AND($J$38&lt;&gt;"",$L$38&lt;&gt;""),IF($J$38&lt;$L$38,3,IF($J$38=$L$38,1,0)),"")</f>
        <v>0</v>
      </c>
      <c r="O44" s="157" cm="1">
        <f t="array" ref="O44">IF(SUMPRODUCT(--(E44:N44&lt;&gt;""))&lt;&gt;0,SUM(E44:N44),"")</f>
        <v>0</v>
      </c>
      <c r="Q44" s="152">
        <f t="shared" si="0"/>
        <v>7</v>
      </c>
      <c r="R44" s="152">
        <f t="shared" si="2"/>
        <v>0</v>
      </c>
      <c r="S44" s="152">
        <f t="shared" si="3"/>
        <v>7</v>
      </c>
      <c r="T44" s="152">
        <f t="shared" si="4"/>
        <v>0</v>
      </c>
      <c r="U44" s="152">
        <f>L12+J16+J19+L24+J29+L31+L38</f>
        <v>0</v>
      </c>
      <c r="V44" s="152">
        <f>J12+L16+L19+J24+L29+J31+J38</f>
        <v>22</v>
      </c>
      <c r="W44" s="152">
        <f>R12+Q16+Q19+R24+Q29+R31+R38</f>
        <v>10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19</v>
      </c>
      <c r="Q45" s="152">
        <f t="shared" si="0"/>
        <v>7</v>
      </c>
      <c r="R45" s="152">
        <f t="shared" si="2"/>
        <v>6</v>
      </c>
      <c r="S45" s="152">
        <f t="shared" si="3"/>
        <v>0</v>
      </c>
      <c r="T45" s="152">
        <f t="shared" si="4"/>
        <v>1</v>
      </c>
      <c r="U45" s="152">
        <f>J13+L16+L20+J26+L30+L34+J37</f>
        <v>18</v>
      </c>
      <c r="V45" s="152">
        <f>L13+J16+J20+L26+J30+J34+L37</f>
        <v>2</v>
      </c>
      <c r="W45" s="152">
        <f>Q13+R16+R20+Q26+R30+R34+Q37</f>
        <v>7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13</v>
      </c>
      <c r="Q46" s="152">
        <f t="shared" si="0"/>
        <v>7</v>
      </c>
      <c r="R46" s="152">
        <f t="shared" si="2"/>
        <v>4</v>
      </c>
      <c r="S46" s="152">
        <f t="shared" si="3"/>
        <v>2</v>
      </c>
      <c r="T46" s="152">
        <f t="shared" si="4"/>
        <v>1</v>
      </c>
      <c r="U46" s="152">
        <f>L13+J17+J22+J24+L27+L33+J36</f>
        <v>14</v>
      </c>
      <c r="V46" s="152">
        <f>J13+L17+L22+L24+J27+J33+L36</f>
        <v>7</v>
      </c>
      <c r="W46" s="152">
        <f>R13+Q17+Q22+Q24+R27+R33+Q36</f>
        <v>9</v>
      </c>
      <c r="X46" s="129">
        <f t="shared" si="1"/>
        <v>3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0</v>
      </c>
      <c r="N47" s="157">
        <f>IF(AND($J$38&lt;&gt;"",$L$38&lt;&gt;""),IF($J$38&gt;$L$38,3,IF($J$38=$L$38,1,0)),"")</f>
        <v>3</v>
      </c>
      <c r="O47" s="157" cm="1">
        <f t="array" ref="O47">IF(SUMPRODUCT(--(E47:N47&lt;&gt;""))&lt;&gt;0,SUM(E47:N47),"")</f>
        <v>9</v>
      </c>
      <c r="Q47" s="152">
        <f t="shared" si="0"/>
        <v>7</v>
      </c>
      <c r="R47" s="152">
        <f t="shared" si="2"/>
        <v>3</v>
      </c>
      <c r="S47" s="152">
        <f t="shared" si="3"/>
        <v>4</v>
      </c>
      <c r="T47" s="152">
        <f t="shared" si="4"/>
        <v>0</v>
      </c>
      <c r="U47" s="152">
        <f>J14+L17+L21+L25+J30+L32+J38</f>
        <v>10</v>
      </c>
      <c r="V47" s="152">
        <f>L14+J17+J21+J25+L30+J32+L38</f>
        <v>11</v>
      </c>
      <c r="W47" s="152">
        <f>Q14+R17+R21+R25+Q30+R32+Q38</f>
        <v>10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4</v>
      </c>
      <c r="Q48" s="152">
        <f t="shared" si="0"/>
        <v>7</v>
      </c>
      <c r="R48" s="152">
        <f t="shared" si="2"/>
        <v>1</v>
      </c>
      <c r="S48" s="152">
        <f t="shared" si="3"/>
        <v>5</v>
      </c>
      <c r="T48" s="152">
        <f t="shared" si="4"/>
        <v>1</v>
      </c>
      <c r="U48" s="152">
        <f>L14+J18+L22+L26+L28+J31+J35</f>
        <v>3</v>
      </c>
      <c r="V48" s="152">
        <f>J14+L18+J22+J26+J28+L31+L35</f>
        <v>15</v>
      </c>
      <c r="W48" s="152">
        <f>+R14+Q18+R22+R26+R28+Q31+Q35</f>
        <v>12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0A8AF-5691-4A22-B172-61057C3EF8CD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0</v>
      </c>
      <c r="M27" s="126" t="str">
        <f>Scheids!$D$9</f>
        <v>Chris van Noordwijk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2</v>
      </c>
      <c r="K29" s="124" t="s">
        <v>294</v>
      </c>
      <c r="L29" s="125">
        <v>3</v>
      </c>
      <c r="M29" s="126" t="str">
        <f>Scheids!$D$9</f>
        <v>Chris van Noordwijk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0</v>
      </c>
      <c r="K30" s="124" t="s">
        <v>294</v>
      </c>
      <c r="L30" s="125">
        <v>4</v>
      </c>
      <c r="M30" s="126" t="str">
        <f>Scheids!$D$9</f>
        <v>Chris van Noordwijk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>
        <v>0</v>
      </c>
      <c r="K32" s="124" t="s">
        <v>294</v>
      </c>
      <c r="L32" s="125">
        <v>1</v>
      </c>
      <c r="M32" s="126" t="str">
        <f>Scheids!$F$9</f>
        <v>Dik vd Mast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>
        <v>0</v>
      </c>
      <c r="K33" s="124" t="s">
        <v>294</v>
      </c>
      <c r="L33" s="125">
        <v>1</v>
      </c>
      <c r="M33" s="126" t="str">
        <f>Scheids!$F$9</f>
        <v>Dik vd Mast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>
        <v>2</v>
      </c>
      <c r="K34" s="124" t="s">
        <v>294</v>
      </c>
      <c r="L34" s="125">
        <v>3</v>
      </c>
      <c r="M34" s="126" t="str">
        <f>Scheids!$F$9</f>
        <v>Dik vd Mast</v>
      </c>
      <c r="N34" s="127"/>
      <c r="O34" s="128"/>
      <c r="Q34" s="129">
        <v>0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>
        <v>0</v>
      </c>
      <c r="K36" s="124" t="s">
        <v>294</v>
      </c>
      <c r="L36" s="125">
        <v>2</v>
      </c>
      <c r="M36" s="126" t="str">
        <f>Scheids!$D$9</f>
        <v>Chris van Noordwijk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>
        <v>3</v>
      </c>
      <c r="K37" s="124" t="s">
        <v>294</v>
      </c>
      <c r="L37" s="125">
        <v>0</v>
      </c>
      <c r="M37" s="126" t="str">
        <f>Scheids!$F$9</f>
        <v>Dik vd Mast</v>
      </c>
      <c r="N37" s="127"/>
      <c r="O37" s="128"/>
      <c r="Q37" s="129">
        <v>2</v>
      </c>
      <c r="R37" s="129">
        <v>2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>
        <v>0</v>
      </c>
      <c r="K38" s="139" t="s">
        <v>294</v>
      </c>
      <c r="L38" s="140">
        <v>4</v>
      </c>
      <c r="M38" s="141" t="str">
        <f>Scheids!$F$9</f>
        <v>Dik vd Mast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12</v>
      </c>
      <c r="Q41" s="152">
        <f t="shared" ref="Q41:Q48" si="0">COUNT(E41:N41)</f>
        <v>6</v>
      </c>
      <c r="R41" s="152">
        <f>COUNTIFS(E41:N41,3)</f>
        <v>4</v>
      </c>
      <c r="S41" s="152">
        <f>COUNTIFS(E41:N41,0)</f>
        <v>2</v>
      </c>
      <c r="T41" s="152">
        <f>COUNTIFS(E41:N41,1)</f>
        <v>0</v>
      </c>
      <c r="U41" s="152">
        <f>J11+L18+J21+J23+L29+J34+L36</f>
        <v>15</v>
      </c>
      <c r="V41" s="152">
        <f>L11+J18+L21+L23+J29+L34+J36</f>
        <v>8</v>
      </c>
      <c r="W41" s="152">
        <f>Q11+R18+Q21+Q23+R29+Q34+R36</f>
        <v>5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3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12</v>
      </c>
      <c r="W42" s="152">
        <f>R11+Q15+R19+Q25+Q28+Q33+R37</f>
        <v>11</v>
      </c>
      <c r="X42" s="129">
        <f t="shared" si="1"/>
        <v>6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2</v>
      </c>
      <c r="S43" s="152">
        <f t="shared" si="3"/>
        <v>4</v>
      </c>
      <c r="T43" s="152">
        <f t="shared" si="4"/>
        <v>0</v>
      </c>
      <c r="U43" s="152">
        <f>J12+L15+J20+L23+J27+J32+L35</f>
        <v>3</v>
      </c>
      <c r="V43" s="152">
        <f>L12+J15+L20+J23+L27+L32+J35</f>
        <v>15</v>
      </c>
      <c r="W43" s="152">
        <f>Q12+R15+Q20+R23+Q27+Q32+R35</f>
        <v>11</v>
      </c>
      <c r="X43" s="129">
        <f t="shared" si="1"/>
        <v>5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20</v>
      </c>
      <c r="V44" s="152">
        <f>J12+L16+L19+J24+L29+J31+J38</f>
        <v>5</v>
      </c>
      <c r="W44" s="152">
        <f>R12+Q16+Q19+R24+Q29+R31+R38</f>
        <v>12</v>
      </c>
      <c r="X44" s="129">
        <f t="shared" si="1"/>
        <v>2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16</v>
      </c>
      <c r="Q45" s="152">
        <f t="shared" si="0"/>
        <v>6</v>
      </c>
      <c r="R45" s="152">
        <f t="shared" si="2"/>
        <v>5</v>
      </c>
      <c r="S45" s="152">
        <f t="shared" si="3"/>
        <v>0</v>
      </c>
      <c r="T45" s="152">
        <f t="shared" si="4"/>
        <v>1</v>
      </c>
      <c r="U45" s="152">
        <f>J13+L16+L20+J26+L30+L34+J37</f>
        <v>17</v>
      </c>
      <c r="V45" s="152">
        <f>L13+J16+J20+L26+J30+J34+L37</f>
        <v>3</v>
      </c>
      <c r="W45" s="152">
        <f>Q13+R16+R20+Q26+R30+R34+Q37</f>
        <v>11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2</v>
      </c>
      <c r="V46" s="152">
        <f>J13+L17+L22+L24+J27+J33+L36</f>
        <v>10</v>
      </c>
      <c r="W46" s="152">
        <f>R13+Q17+Q22+Q24+R27+R33+Q36</f>
        <v>9</v>
      </c>
      <c r="X46" s="129">
        <f t="shared" si="1"/>
        <v>6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9</v>
      </c>
      <c r="Q47" s="152">
        <f t="shared" si="0"/>
        <v>6</v>
      </c>
      <c r="R47" s="152">
        <f t="shared" si="2"/>
        <v>3</v>
      </c>
      <c r="S47" s="152">
        <f t="shared" si="3"/>
        <v>3</v>
      </c>
      <c r="T47" s="152">
        <f t="shared" si="4"/>
        <v>0</v>
      </c>
      <c r="U47" s="152">
        <f>J14+L17+L21+L25+J30+L32+J38</f>
        <v>4</v>
      </c>
      <c r="V47" s="152">
        <f>L14+J17+J21+J25+L30+J32+L38</f>
        <v>11</v>
      </c>
      <c r="W47" s="152">
        <f>Q14+R17+R21+R25+Q30+R32+Q38</f>
        <v>12</v>
      </c>
      <c r="X47" s="129">
        <f t="shared" si="1"/>
        <v>4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9CBE3-8FD5-4B92-B18A-9374A87A55C9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0</v>
      </c>
      <c r="K27" s="124" t="s">
        <v>294</v>
      </c>
      <c r="L27" s="125">
        <v>1</v>
      </c>
      <c r="M27" s="126" t="str">
        <f>Scheids!$D$10</f>
        <v>Dion Dingler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0</v>
      </c>
      <c r="K29" s="124" t="s">
        <v>294</v>
      </c>
      <c r="L29" s="125">
        <v>0</v>
      </c>
      <c r="M29" s="126" t="str">
        <f>Scheids!$D$10</f>
        <v>Dion Dingler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0</v>
      </c>
      <c r="K30" s="124" t="s">
        <v>294</v>
      </c>
      <c r="L30" s="125">
        <v>0</v>
      </c>
      <c r="M30" s="126" t="str">
        <f>Scheids!$D$10</f>
        <v>Dion Dingler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>
        <v>3</v>
      </c>
      <c r="K32" s="124" t="s">
        <v>294</v>
      </c>
      <c r="L32" s="125">
        <v>0</v>
      </c>
      <c r="M32" s="126" t="str">
        <f>Scheids!$F$10</f>
        <v>Henk Priem</v>
      </c>
      <c r="N32" s="127"/>
      <c r="O32" s="128"/>
      <c r="Q32" s="129">
        <v>2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>
        <v>2</v>
      </c>
      <c r="K33" s="124" t="s">
        <v>294</v>
      </c>
      <c r="L33" s="125">
        <v>0</v>
      </c>
      <c r="M33" s="126" t="str">
        <f>Scheids!$F$10</f>
        <v>Henk Priem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>
        <v>5</v>
      </c>
      <c r="K34" s="124" t="s">
        <v>294</v>
      </c>
      <c r="L34" s="125">
        <v>0</v>
      </c>
      <c r="M34" s="126" t="str">
        <f>Scheids!$F$10</f>
        <v>Henk Priem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>
        <v>2</v>
      </c>
      <c r="K36" s="124" t="s">
        <v>294</v>
      </c>
      <c r="L36" s="125">
        <v>0</v>
      </c>
      <c r="M36" s="126" t="str">
        <f>Scheids!$D$10</f>
        <v>Dion Dingler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>
        <v>0</v>
      </c>
      <c r="K37" s="124" t="s">
        <v>294</v>
      </c>
      <c r="L37" s="125">
        <v>3</v>
      </c>
      <c r="M37" s="126" t="str">
        <f>Scheids!$F$10</f>
        <v>Henk Priem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>
        <v>0</v>
      </c>
      <c r="K38" s="139" t="s">
        <v>294</v>
      </c>
      <c r="L38" s="140">
        <v>2</v>
      </c>
      <c r="M38" s="141" t="str">
        <f>Scheids!$F$10</f>
        <v>Henk Priem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13</v>
      </c>
      <c r="Q41" s="152">
        <f t="shared" ref="Q41:Q48" si="0">COUNT(E41:N41)</f>
        <v>6</v>
      </c>
      <c r="R41" s="152">
        <f>COUNTIFS(E41:N41,3)</f>
        <v>4</v>
      </c>
      <c r="S41" s="152">
        <f>COUNTIFS(E41:N41,0)</f>
        <v>1</v>
      </c>
      <c r="T41" s="152">
        <f>COUNTIFS(E41:N41,1)</f>
        <v>1</v>
      </c>
      <c r="U41" s="152">
        <f>J11+L18+J21+J23+L29+J34+L36</f>
        <v>14</v>
      </c>
      <c r="V41" s="152">
        <f>L11+J18+L21+L23+J29+L34+J36</f>
        <v>2</v>
      </c>
      <c r="W41" s="152">
        <f>Q11+R18+Q21+Q23+R29+Q34+R36</f>
        <v>9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15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16</v>
      </c>
      <c r="V42" s="152">
        <f>J11+L15+J19+L25+L28+L33+J37</f>
        <v>2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3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6</v>
      </c>
      <c r="R43" s="152">
        <f t="shared" si="2"/>
        <v>3</v>
      </c>
      <c r="S43" s="152">
        <f t="shared" si="3"/>
        <v>3</v>
      </c>
      <c r="T43" s="152">
        <f t="shared" si="4"/>
        <v>0</v>
      </c>
      <c r="U43" s="152">
        <f>J12+L15+J20+L23+J27+J32+L35</f>
        <v>9</v>
      </c>
      <c r="V43" s="152">
        <f>L12+J15+L20+J23+L27+L32+J35</f>
        <v>7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7</v>
      </c>
      <c r="Q44" s="152">
        <f t="shared" si="0"/>
        <v>6</v>
      </c>
      <c r="R44" s="152">
        <f t="shared" si="2"/>
        <v>2</v>
      </c>
      <c r="S44" s="152">
        <f t="shared" si="3"/>
        <v>3</v>
      </c>
      <c r="T44" s="152">
        <f t="shared" si="4"/>
        <v>1</v>
      </c>
      <c r="U44" s="152">
        <f>L12+J16+J19+L24+J29+L31+L38</f>
        <v>6</v>
      </c>
      <c r="V44" s="152">
        <f>J12+L16+L19+J24+L29+J31+J38</f>
        <v>8</v>
      </c>
      <c r="W44" s="152">
        <f>R12+Q16+Q19+R24+Q29+R31+R38</f>
        <v>5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1</v>
      </c>
      <c r="Q45" s="152">
        <f t="shared" si="0"/>
        <v>6</v>
      </c>
      <c r="R45" s="152">
        <f t="shared" si="2"/>
        <v>0</v>
      </c>
      <c r="S45" s="152">
        <f t="shared" si="3"/>
        <v>5</v>
      </c>
      <c r="T45" s="152">
        <f t="shared" si="4"/>
        <v>1</v>
      </c>
      <c r="U45" s="152">
        <f>J13+L16+L20+J26+L30+L34+J37</f>
        <v>0</v>
      </c>
      <c r="V45" s="152">
        <f>L13+J16+J20+L26+J30+J34+L37</f>
        <v>19</v>
      </c>
      <c r="W45" s="152">
        <f>Q13+R16+R20+Q26+R30+R34+Q37</f>
        <v>8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15</v>
      </c>
      <c r="Q46" s="152">
        <f t="shared" si="0"/>
        <v>6</v>
      </c>
      <c r="R46" s="152">
        <f t="shared" si="2"/>
        <v>5</v>
      </c>
      <c r="S46" s="152">
        <f t="shared" si="3"/>
        <v>1</v>
      </c>
      <c r="T46" s="152">
        <f t="shared" si="4"/>
        <v>0</v>
      </c>
      <c r="U46" s="152">
        <f>L13+J17+J22+J24+L27+L33+J36</f>
        <v>15</v>
      </c>
      <c r="V46" s="152">
        <f>J13+L17+L22+L24+J27+J33+L36</f>
        <v>2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0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</v>
      </c>
      <c r="Q47" s="152">
        <f t="shared" si="0"/>
        <v>6</v>
      </c>
      <c r="R47" s="152">
        <f t="shared" si="2"/>
        <v>0</v>
      </c>
      <c r="S47" s="152">
        <f t="shared" si="3"/>
        <v>5</v>
      </c>
      <c r="T47" s="152">
        <f t="shared" si="4"/>
        <v>1</v>
      </c>
      <c r="U47" s="152">
        <f>J14+L17+L21+L25+J30+L32+J38</f>
        <v>0</v>
      </c>
      <c r="V47" s="152">
        <f>L14+J17+J21+J25+L30+J32+L38</f>
        <v>20</v>
      </c>
      <c r="W47" s="152">
        <f>Q14+R17+R21+R25+Q30+R32+Q38</f>
        <v>7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37D52-3A9B-47C7-8EA6-1D0D3FF60996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2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2</v>
      </c>
      <c r="K29" s="124" t="s">
        <v>294</v>
      </c>
      <c r="L29" s="125">
        <v>0</v>
      </c>
      <c r="M29" s="126" t="str">
        <f>Scheids!$D$11</f>
        <v>Leo Boer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2</v>
      </c>
      <c r="K30" s="124" t="s">
        <v>294</v>
      </c>
      <c r="L30" s="125">
        <v>0</v>
      </c>
      <c r="M30" s="126" t="str">
        <f>Scheids!$D$11</f>
        <v>Leo Boer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>
        <v>3</v>
      </c>
      <c r="K32" s="124" t="s">
        <v>294</v>
      </c>
      <c r="L32" s="125">
        <v>0</v>
      </c>
      <c r="M32" s="126" t="str">
        <f>Scheids!$F$11</f>
        <v>Lars v Gassel</v>
      </c>
      <c r="N32" s="127"/>
      <c r="O32" s="128"/>
      <c r="Q32" s="129">
        <v>1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>
        <v>1</v>
      </c>
      <c r="K33" s="124" t="s">
        <v>294</v>
      </c>
      <c r="L33" s="125">
        <v>1</v>
      </c>
      <c r="M33" s="126" t="str">
        <f>Scheids!$F$11</f>
        <v>Lars v Gassel</v>
      </c>
      <c r="N33" s="127"/>
      <c r="O33" s="128"/>
      <c r="Q33" s="129">
        <v>2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>
        <v>0</v>
      </c>
      <c r="K34" s="124" t="s">
        <v>294</v>
      </c>
      <c r="L34" s="125">
        <v>0</v>
      </c>
      <c r="M34" s="126" t="str">
        <f>Scheids!$F$11</f>
        <v>Lars v Gassel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>
        <v>0</v>
      </c>
      <c r="K36" s="124" t="s">
        <v>294</v>
      </c>
      <c r="L36" s="125">
        <v>0</v>
      </c>
      <c r="M36" s="126" t="str">
        <f>Scheids!$D$11</f>
        <v>Leo Boer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>
        <v>0</v>
      </c>
      <c r="K37" s="124" t="s">
        <v>294</v>
      </c>
      <c r="L37" s="125">
        <v>5</v>
      </c>
      <c r="M37" s="126" t="str">
        <f>Scheids!$F$11</f>
        <v>Lars v Gassel</v>
      </c>
      <c r="N37" s="127"/>
      <c r="O37" s="128"/>
      <c r="Q37" s="129">
        <v>2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>
        <v>1</v>
      </c>
      <c r="K38" s="139" t="s">
        <v>294</v>
      </c>
      <c r="L38" s="140">
        <v>1</v>
      </c>
      <c r="M38" s="141" t="str">
        <f>Scheids!$F$11</f>
        <v>Lars v Gassel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3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3</v>
      </c>
      <c r="T41" s="152">
        <f>COUNTIFS(E41:N41,1)</f>
        <v>3</v>
      </c>
      <c r="U41" s="152">
        <f>J11+L18+J21+J23+L29+J34+L36</f>
        <v>0</v>
      </c>
      <c r="V41" s="152">
        <f>L11+J18+L21+L23+J29+L34+J36</f>
        <v>9</v>
      </c>
      <c r="W41" s="152">
        <f>Q11+R18+Q21+Q23+R29+Q34+R36</f>
        <v>11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14</v>
      </c>
      <c r="Q42" s="152">
        <f t="shared" si="0"/>
        <v>6</v>
      </c>
      <c r="R42" s="152">
        <f t="shared" ref="R42:R48" si="2">COUNTIFS(E42:N42,3)</f>
        <v>4</v>
      </c>
      <c r="S42" s="152">
        <f t="shared" ref="S42:S48" si="3">COUNTIFS(E42:N42,0)</f>
        <v>0</v>
      </c>
      <c r="T42" s="152">
        <f t="shared" ref="T42:T48" si="4">COUNTIFS(E42:N42,1)</f>
        <v>2</v>
      </c>
      <c r="U42" s="152">
        <f>L11+J15+L19+J25+J28+J33+L37</f>
        <v>17</v>
      </c>
      <c r="V42" s="152">
        <f>J11+L15+J19+L25+L28+L33+J37</f>
        <v>4</v>
      </c>
      <c r="W42" s="152">
        <f>R11+Q15+R19+Q25+Q28+Q33+R37</f>
        <v>10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3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6</v>
      </c>
      <c r="R43" s="152">
        <f t="shared" si="2"/>
        <v>3</v>
      </c>
      <c r="S43" s="152">
        <f t="shared" si="3"/>
        <v>0</v>
      </c>
      <c r="T43" s="152">
        <f t="shared" si="4"/>
        <v>3</v>
      </c>
      <c r="U43" s="152">
        <f>J12+L15+J20+L23+J27+J32+L35</f>
        <v>12</v>
      </c>
      <c r="V43" s="152">
        <f>L12+J15+L20+J23+L27+L32+J35</f>
        <v>4</v>
      </c>
      <c r="W43" s="152">
        <f>Q12+R15+Q20+R23+Q27+Q32+R35</f>
        <v>7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7</v>
      </c>
      <c r="V44" s="152">
        <f>J12+L16+L19+J24+L29+J31+J38</f>
        <v>6</v>
      </c>
      <c r="W44" s="152">
        <f>R12+Q16+Q19+R24+Q29+R31+R38</f>
        <v>11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1</v>
      </c>
      <c r="Q45" s="152">
        <f t="shared" si="0"/>
        <v>6</v>
      </c>
      <c r="R45" s="152">
        <f t="shared" si="2"/>
        <v>0</v>
      </c>
      <c r="S45" s="152">
        <f t="shared" si="3"/>
        <v>5</v>
      </c>
      <c r="T45" s="152">
        <f t="shared" si="4"/>
        <v>1</v>
      </c>
      <c r="U45" s="152">
        <f>J13+L16+L20+J26+L30+L34+J37</f>
        <v>0</v>
      </c>
      <c r="V45" s="152">
        <f>L13+J16+J20+L26+J30+J34+L37</f>
        <v>13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10</v>
      </c>
      <c r="Q46" s="152">
        <f t="shared" si="0"/>
        <v>6</v>
      </c>
      <c r="R46" s="152">
        <f t="shared" si="2"/>
        <v>2</v>
      </c>
      <c r="S46" s="152">
        <f t="shared" si="3"/>
        <v>0</v>
      </c>
      <c r="T46" s="152">
        <f t="shared" si="4"/>
        <v>4</v>
      </c>
      <c r="U46" s="152">
        <f>L13+J17+J22+J24+L27+L33+J36</f>
        <v>7</v>
      </c>
      <c r="V46" s="152">
        <f>J13+L17+L22+L24+J27+J33+L36</f>
        <v>3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0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2"/>
        <v>1</v>
      </c>
      <c r="S47" s="152">
        <f t="shared" si="3"/>
        <v>2</v>
      </c>
      <c r="T47" s="152">
        <f t="shared" si="4"/>
        <v>3</v>
      </c>
      <c r="U47" s="152">
        <f>J14+L17+L21+L25+J30+L32+J38</f>
        <v>3</v>
      </c>
      <c r="V47" s="152">
        <f>L14+J17+J21+J25+L30+J32+L38</f>
        <v>7</v>
      </c>
      <c r="W47" s="152">
        <f>Q14+R17+R21+R25+Q30+R32+Q38</f>
        <v>12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B73C-1D14-4CD6-97AB-44EE48742F30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4</v>
      </c>
      <c r="M26" s="126" t="str">
        <f>Scheids!$F$12</f>
        <v>Ton Haanappel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2</v>
      </c>
      <c r="K27" s="124" t="s">
        <v>294</v>
      </c>
      <c r="L27" s="125">
        <v>4</v>
      </c>
      <c r="M27" s="126" t="str">
        <f>Scheids!$F$12</f>
        <v>Ton Haanappel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0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0</v>
      </c>
      <c r="K29" s="124" t="s">
        <v>294</v>
      </c>
      <c r="L29" s="125">
        <v>0</v>
      </c>
      <c r="M29" s="126" t="str">
        <f>Scheids!$D$12</f>
        <v>Theo Dessens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5</v>
      </c>
      <c r="K30" s="124" t="s">
        <v>294</v>
      </c>
      <c r="L30" s="125">
        <v>1</v>
      </c>
      <c r="M30" s="126" t="str">
        <f>Scheids!$D$12</f>
        <v>Theo Dessens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3</v>
      </c>
      <c r="K31" s="124" t="s">
        <v>294</v>
      </c>
      <c r="L31" s="125">
        <v>0</v>
      </c>
      <c r="M31" s="126" t="str">
        <f>Scheids!$D$12</f>
        <v>Theo Dessens</v>
      </c>
      <c r="N31" s="127"/>
      <c r="O31" s="128"/>
      <c r="Q31" s="129">
        <v>1</v>
      </c>
      <c r="R31" s="129">
        <v>1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>
        <v>0</v>
      </c>
      <c r="K32" s="124" t="s">
        <v>294</v>
      </c>
      <c r="L32" s="125">
        <v>1</v>
      </c>
      <c r="M32" s="126" t="str">
        <f>Scheids!$F$12</f>
        <v>Ton Haanappel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>
        <v>0</v>
      </c>
      <c r="K33" s="124" t="s">
        <v>294</v>
      </c>
      <c r="L33" s="125">
        <v>1</v>
      </c>
      <c r="M33" s="126" t="str">
        <f>Scheids!$F$12</f>
        <v>Ton Haanappel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>
        <v>1</v>
      </c>
      <c r="K34" s="124" t="s">
        <v>294</v>
      </c>
      <c r="L34" s="125">
        <v>2</v>
      </c>
      <c r="M34" s="126" t="str">
        <f>Scheids!$F$12</f>
        <v>Ton Haanappel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>
        <v>1</v>
      </c>
      <c r="K35" s="124" t="s">
        <v>294</v>
      </c>
      <c r="L35" s="125">
        <v>2</v>
      </c>
      <c r="M35" s="126" t="str">
        <f>Scheids!$D$12</f>
        <v>Theo Dessens</v>
      </c>
      <c r="N35" s="127"/>
      <c r="O35" s="128"/>
      <c r="Q35" s="129">
        <v>1</v>
      </c>
      <c r="R35" s="129">
        <v>1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>
        <v>4</v>
      </c>
      <c r="K36" s="124" t="s">
        <v>294</v>
      </c>
      <c r="L36" s="125">
        <v>0</v>
      </c>
      <c r="M36" s="126" t="str">
        <f>Scheids!$D$12</f>
        <v>Theo Dessens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>
        <v>2</v>
      </c>
      <c r="K37" s="124" t="s">
        <v>294</v>
      </c>
      <c r="L37" s="125">
        <v>1</v>
      </c>
      <c r="M37" s="126" t="str">
        <f>Scheids!$F$12</f>
        <v>Ton Haanappel</v>
      </c>
      <c r="N37" s="127"/>
      <c r="O37" s="128"/>
      <c r="Q37" s="129">
        <v>2</v>
      </c>
      <c r="R37" s="129">
        <v>2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>
        <v>1</v>
      </c>
      <c r="K38" s="139" t="s">
        <v>294</v>
      </c>
      <c r="L38" s="140">
        <v>1</v>
      </c>
      <c r="M38" s="141" t="str">
        <f>Scheids!$F$12</f>
        <v>Ton Haanappel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2</v>
      </c>
      <c r="Q41" s="152">
        <f t="shared" ref="Q41:Q48" si="0">COUNT(E41:N41)</f>
        <v>7</v>
      </c>
      <c r="R41" s="152">
        <f>COUNTIFS(E41:N41,3)</f>
        <v>0</v>
      </c>
      <c r="S41" s="152">
        <f>COUNTIFS(E41:N41,0)</f>
        <v>5</v>
      </c>
      <c r="T41" s="152">
        <f>COUNTIFS(E41:N41,1)</f>
        <v>2</v>
      </c>
      <c r="U41" s="152">
        <f>J11+L18+J21+J23+L29+J34+L36</f>
        <v>1</v>
      </c>
      <c r="V41" s="152">
        <f>L11+J18+L21+L23+J29+L34+J36</f>
        <v>13</v>
      </c>
      <c r="W41" s="152">
        <f>Q11+R18+Q21+Q23+R29+Q34+R36</f>
        <v>9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4</v>
      </c>
      <c r="V42" s="152">
        <f>J11+L15+J19+L25+L28+L33+J37</f>
        <v>9</v>
      </c>
      <c r="W42" s="152">
        <f>R11+Q15+R19+Q25+Q28+Q33+R37</f>
        <v>11</v>
      </c>
      <c r="X42" s="129">
        <f t="shared" si="1"/>
        <v>5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3</v>
      </c>
      <c r="O43" s="157" cm="1">
        <f t="array" ref="O43">IF(SUMPRODUCT(--(E43:N43&lt;&gt;""))&lt;&gt;0,SUM(E43:N43),"")</f>
        <v>15</v>
      </c>
      <c r="Q43" s="152">
        <f t="shared" si="0"/>
        <v>7</v>
      </c>
      <c r="R43" s="152">
        <f t="shared" si="2"/>
        <v>5</v>
      </c>
      <c r="S43" s="152">
        <f t="shared" si="3"/>
        <v>2</v>
      </c>
      <c r="T43" s="152">
        <f t="shared" si="4"/>
        <v>0</v>
      </c>
      <c r="U43" s="152">
        <f>J12+L15+J20+L23+J27+J32+L35</f>
        <v>11</v>
      </c>
      <c r="V43" s="152">
        <f>L12+J15+L20+J23+L27+L32+J35</f>
        <v>6</v>
      </c>
      <c r="W43" s="152">
        <f>Q12+R15+Q20+R23+Q27+Q32+R35</f>
        <v>11</v>
      </c>
      <c r="X43" s="129">
        <f t="shared" si="1"/>
        <v>2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5</v>
      </c>
      <c r="Q44" s="152">
        <f t="shared" si="0"/>
        <v>7</v>
      </c>
      <c r="R44" s="152">
        <f t="shared" si="2"/>
        <v>1</v>
      </c>
      <c r="S44" s="152">
        <f t="shared" si="3"/>
        <v>4</v>
      </c>
      <c r="T44" s="152">
        <f t="shared" si="4"/>
        <v>2</v>
      </c>
      <c r="U44" s="152">
        <f>L12+J16+J19+L24+J29+L31+L38</f>
        <v>2</v>
      </c>
      <c r="V44" s="152">
        <f>J12+L16+L19+J24+L29+J31+J38</f>
        <v>8</v>
      </c>
      <c r="W44" s="152">
        <f>R12+Q16+Q19+R24+Q29+R31+R38</f>
        <v>9</v>
      </c>
      <c r="X44" s="129">
        <f t="shared" si="1"/>
        <v>7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6</v>
      </c>
      <c r="Q45" s="152">
        <f t="shared" si="0"/>
        <v>7</v>
      </c>
      <c r="R45" s="152">
        <f t="shared" si="2"/>
        <v>2</v>
      </c>
      <c r="S45" s="152">
        <f t="shared" si="3"/>
        <v>5</v>
      </c>
      <c r="T45" s="152">
        <f t="shared" si="4"/>
        <v>0</v>
      </c>
      <c r="U45" s="152">
        <f>J13+L16+L20+J26+L30+L34+J37</f>
        <v>6</v>
      </c>
      <c r="V45" s="152">
        <f>L13+J16+J20+L26+J30+J34+L37</f>
        <v>18</v>
      </c>
      <c r="W45" s="152">
        <f>Q13+R16+R20+Q26+R30+R34+Q37</f>
        <v>12</v>
      </c>
      <c r="X45" s="129">
        <f t="shared" si="1"/>
        <v>5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21</v>
      </c>
      <c r="Q46" s="152">
        <f t="shared" si="0"/>
        <v>7</v>
      </c>
      <c r="R46" s="152">
        <f t="shared" si="2"/>
        <v>7</v>
      </c>
      <c r="S46" s="152">
        <f t="shared" si="3"/>
        <v>0</v>
      </c>
      <c r="T46" s="152">
        <f t="shared" si="4"/>
        <v>0</v>
      </c>
      <c r="U46" s="152">
        <f>L13+J17+J22+J24+L27+L33+J36</f>
        <v>20</v>
      </c>
      <c r="V46" s="152">
        <f>J13+L17+L22+L24+J27+J33+L36</f>
        <v>2</v>
      </c>
      <c r="W46" s="152">
        <f>R13+Q17+Q22+Q24+R27+R33+Q36</f>
        <v>10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14</v>
      </c>
      <c r="Q47" s="152">
        <f t="shared" si="0"/>
        <v>7</v>
      </c>
      <c r="R47" s="152">
        <f t="shared" si="2"/>
        <v>4</v>
      </c>
      <c r="S47" s="152">
        <f t="shared" si="3"/>
        <v>1</v>
      </c>
      <c r="T47" s="152">
        <f t="shared" si="4"/>
        <v>2</v>
      </c>
      <c r="U47" s="152">
        <f>J14+L17+L21+L25+J30+L32+J38</f>
        <v>12</v>
      </c>
      <c r="V47" s="152">
        <f>L14+J17+J21+J25+L30+J32+L38</f>
        <v>5</v>
      </c>
      <c r="W47" s="152">
        <f>Q14+R17+R21+R25+Q30+R32+Q38</f>
        <v>11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12</v>
      </c>
      <c r="Q48" s="152">
        <f t="shared" si="0"/>
        <v>7</v>
      </c>
      <c r="R48" s="152">
        <f t="shared" si="2"/>
        <v>4</v>
      </c>
      <c r="S48" s="152">
        <f t="shared" si="3"/>
        <v>3</v>
      </c>
      <c r="T48" s="152">
        <f t="shared" si="4"/>
        <v>0</v>
      </c>
      <c r="U48" s="152">
        <f>L14+J18+L22+L26+L28+J31+J35</f>
        <v>14</v>
      </c>
      <c r="V48" s="152">
        <f>J14+L18+J22+J26+J28+L31+L35</f>
        <v>9</v>
      </c>
      <c r="W48" s="152">
        <f>+R14+Q18+R22+R26+R28+Q31+Q35</f>
        <v>11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93B89-1DA1-4782-B94B-AF6C5E9DC02F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0</v>
      </c>
      <c r="K26" s="124" t="s">
        <v>294</v>
      </c>
      <c r="L26" s="125">
        <v>1</v>
      </c>
      <c r="M26" s="126" t="str">
        <f>Scheids!$F$13</f>
        <v>Gennaro vd Kan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3</v>
      </c>
      <c r="K27" s="124" t="s">
        <v>294</v>
      </c>
      <c r="L27" s="125">
        <v>0</v>
      </c>
      <c r="M27" s="126" t="str">
        <f>Scheids!$F$13</f>
        <v>Gennaro vd Kan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0</v>
      </c>
      <c r="K28" s="124" t="s">
        <v>294</v>
      </c>
      <c r="L28" s="125">
        <v>3</v>
      </c>
      <c r="M28" s="126" t="str">
        <f>Scheids!$F$13</f>
        <v>Gennaro vd Kan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1</v>
      </c>
      <c r="M29" s="126" t="str">
        <f>Scheids!$D$13</f>
        <v>Ruud Bakas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1</v>
      </c>
      <c r="K30" s="124" t="s">
        <v>294</v>
      </c>
      <c r="L30" s="125">
        <v>4</v>
      </c>
      <c r="M30" s="126" t="str">
        <f>Scheids!$D$13</f>
        <v>Ruud Bakas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3</v>
      </c>
      <c r="K31" s="124" t="s">
        <v>294</v>
      </c>
      <c r="L31" s="125">
        <v>0</v>
      </c>
      <c r="M31" s="126" t="str">
        <f>Scheids!$D$13</f>
        <v>Ruud Bakas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>
        <v>3</v>
      </c>
      <c r="K32" s="124" t="s">
        <v>294</v>
      </c>
      <c r="L32" s="125">
        <v>0</v>
      </c>
      <c r="M32" s="126" t="str">
        <f>Scheids!$F$13</f>
        <v>Gennaro vd Kan</v>
      </c>
      <c r="N32" s="127"/>
      <c r="O32" s="128"/>
      <c r="Q32" s="129">
        <v>1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>
        <v>0</v>
      </c>
      <c r="K33" s="124" t="s">
        <v>294</v>
      </c>
      <c r="L33" s="125">
        <v>5</v>
      </c>
      <c r="M33" s="126" t="str">
        <f>Scheids!$F$13</f>
        <v>Gennaro vd Kan</v>
      </c>
      <c r="N33" s="127"/>
      <c r="O33" s="128"/>
      <c r="Q33" s="129">
        <v>2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>
        <v>0</v>
      </c>
      <c r="K34" s="124" t="s">
        <v>294</v>
      </c>
      <c r="L34" s="125">
        <v>6</v>
      </c>
      <c r="M34" s="126" t="str">
        <f>Scheids!$F$13</f>
        <v>Gennaro vd Kan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>
        <v>1</v>
      </c>
      <c r="K35" s="124" t="s">
        <v>294</v>
      </c>
      <c r="L35" s="125">
        <v>1</v>
      </c>
      <c r="M35" s="126" t="str">
        <f>Scheids!$D$13</f>
        <v>Ruud Bakas</v>
      </c>
      <c r="N35" s="127"/>
      <c r="O35" s="128"/>
      <c r="Q35" s="129">
        <v>2</v>
      </c>
      <c r="R35" s="129">
        <v>0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>
        <v>1</v>
      </c>
      <c r="K36" s="124" t="s">
        <v>294</v>
      </c>
      <c r="L36" s="125">
        <v>0</v>
      </c>
      <c r="M36" s="126" t="str">
        <f>Scheids!$D$13</f>
        <v>Ruud Bakas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>
        <v>5</v>
      </c>
      <c r="K37" s="124" t="s">
        <v>294</v>
      </c>
      <c r="L37" s="125">
        <v>0</v>
      </c>
      <c r="M37" s="126" t="str">
        <f>Scheids!$F$13</f>
        <v>Gennaro vd Kan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>
        <v>0</v>
      </c>
      <c r="K38" s="139" t="s">
        <v>294</v>
      </c>
      <c r="L38" s="140">
        <v>0</v>
      </c>
      <c r="M38" s="141" t="str">
        <f>Scheids!$F$13</f>
        <v>Gennaro vd Kan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7</v>
      </c>
      <c r="Q41" s="152">
        <f t="shared" ref="Q41:Q48" si="0">COUNT(E41:N41)</f>
        <v>7</v>
      </c>
      <c r="R41" s="152">
        <f>COUNTIFS(E41:N41,3)</f>
        <v>2</v>
      </c>
      <c r="S41" s="152">
        <f>COUNTIFS(E41:N41,0)</f>
        <v>4</v>
      </c>
      <c r="T41" s="152">
        <f>COUNTIFS(E41:N41,1)</f>
        <v>1</v>
      </c>
      <c r="U41" s="152">
        <f>J11+L18+J21+J23+L29+J34+L36</f>
        <v>4</v>
      </c>
      <c r="V41" s="152">
        <f>L11+J18+L21+L23+J29+L34+J36</f>
        <v>17</v>
      </c>
      <c r="W41" s="152">
        <f>Q11+R18+Q21+Q23+R29+Q34+R36</f>
        <v>12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3</v>
      </c>
      <c r="Q42" s="152">
        <f t="shared" si="0"/>
        <v>7</v>
      </c>
      <c r="R42" s="152">
        <f t="shared" ref="R42:R48" si="2">COUNTIFS(E42:N42,3)</f>
        <v>1</v>
      </c>
      <c r="S42" s="152">
        <f t="shared" ref="S42:S48" si="3">COUNTIFS(E42:N42,0)</f>
        <v>6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20</v>
      </c>
      <c r="W42" s="152">
        <f>R11+Q15+R19+Q25+Q28+Q33+R37</f>
        <v>12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3</v>
      </c>
      <c r="N43" s="170">
        <f>IF(AND($J$35&lt;&gt;"",$L$35&lt;&gt;""),IF($J$35&lt;$L$35,3,IF($J$35=$L$35,1,0)),"")</f>
        <v>1</v>
      </c>
      <c r="O43" s="157" cm="1">
        <f t="array" ref="O43">IF(SUMPRODUCT(--(E43:N43&lt;&gt;""))&lt;&gt;0,SUM(E43:N43),"")</f>
        <v>16</v>
      </c>
      <c r="Q43" s="152">
        <f t="shared" si="0"/>
        <v>7</v>
      </c>
      <c r="R43" s="152">
        <f t="shared" si="2"/>
        <v>5</v>
      </c>
      <c r="S43" s="152">
        <f t="shared" si="3"/>
        <v>1</v>
      </c>
      <c r="T43" s="152">
        <f t="shared" si="4"/>
        <v>1</v>
      </c>
      <c r="U43" s="152">
        <f>J12+L15+J20+L23+J27+J32+L35</f>
        <v>20</v>
      </c>
      <c r="V43" s="152">
        <f>L12+J15+L20+J23+L27+L32+J35</f>
        <v>3</v>
      </c>
      <c r="W43" s="152">
        <f>Q12+R15+Q20+R23+Q27+Q32+R35</f>
        <v>8</v>
      </c>
      <c r="X43" s="129">
        <f t="shared" si="1"/>
        <v>2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3</v>
      </c>
      <c r="Q44" s="152">
        <f t="shared" si="0"/>
        <v>7</v>
      </c>
      <c r="R44" s="152">
        <f t="shared" si="2"/>
        <v>0</v>
      </c>
      <c r="S44" s="152">
        <f t="shared" si="3"/>
        <v>4</v>
      </c>
      <c r="T44" s="152">
        <f t="shared" si="4"/>
        <v>3</v>
      </c>
      <c r="U44" s="152">
        <f>L12+J16+J19+L24+J29+L31+L38</f>
        <v>1</v>
      </c>
      <c r="V44" s="152">
        <f>J12+L16+L19+J24+L29+J31+J38</f>
        <v>11</v>
      </c>
      <c r="W44" s="152">
        <f>R12+Q16+Q19+R24+Q29+R31+R38</f>
        <v>13</v>
      </c>
      <c r="X44" s="129">
        <f t="shared" si="1"/>
        <v>7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16</v>
      </c>
      <c r="Q45" s="152">
        <f t="shared" si="0"/>
        <v>7</v>
      </c>
      <c r="R45" s="152">
        <f t="shared" si="2"/>
        <v>5</v>
      </c>
      <c r="S45" s="152">
        <f t="shared" si="3"/>
        <v>1</v>
      </c>
      <c r="T45" s="152">
        <f t="shared" si="4"/>
        <v>1</v>
      </c>
      <c r="U45" s="152">
        <f>J13+L16+L20+J26+L30+L34+J37</f>
        <v>20</v>
      </c>
      <c r="V45" s="152">
        <f>L13+J16+J20+L26+J30+J34+L37</f>
        <v>2</v>
      </c>
      <c r="W45" s="152">
        <f>Q13+R16+R20+Q26+R30+R34+Q37</f>
        <v>12</v>
      </c>
      <c r="X45" s="129">
        <f t="shared" si="1"/>
        <v>2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10</v>
      </c>
      <c r="V46" s="152">
        <f>J13+L17+L22+L24+J27+J33+L36</f>
        <v>8</v>
      </c>
      <c r="W46" s="152">
        <f>R13+Q17+Q22+Q24+R27+R33+Q36</f>
        <v>11</v>
      </c>
      <c r="X46" s="129">
        <f t="shared" si="1"/>
        <v>4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0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5</v>
      </c>
      <c r="Q47" s="152">
        <f t="shared" si="0"/>
        <v>7</v>
      </c>
      <c r="R47" s="152">
        <f t="shared" si="2"/>
        <v>1</v>
      </c>
      <c r="S47" s="152">
        <f t="shared" si="3"/>
        <v>4</v>
      </c>
      <c r="T47" s="152">
        <f t="shared" si="4"/>
        <v>2</v>
      </c>
      <c r="U47" s="152">
        <f>J14+L17+L21+L25+J30+L32+J38</f>
        <v>4</v>
      </c>
      <c r="V47" s="152">
        <f>L14+J17+J21+J25+L30+J32+L38</f>
        <v>12</v>
      </c>
      <c r="W47" s="152">
        <f>Q14+R17+R21+R25+Q30+R32+Q38</f>
        <v>12</v>
      </c>
      <c r="X47" s="129">
        <f t="shared" si="1"/>
        <v>6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1</v>
      </c>
      <c r="O48" s="157" cm="1">
        <f t="array" ref="O48">IF(SUMPRODUCT(--(E48:N48&lt;&gt;""))&lt;&gt;0,SUM(E48:N48),"")</f>
        <v>19</v>
      </c>
      <c r="Q48" s="152">
        <f t="shared" si="0"/>
        <v>7</v>
      </c>
      <c r="R48" s="152">
        <f t="shared" si="2"/>
        <v>6</v>
      </c>
      <c r="S48" s="152">
        <f t="shared" si="3"/>
        <v>0</v>
      </c>
      <c r="T48" s="152">
        <f t="shared" si="4"/>
        <v>1</v>
      </c>
      <c r="U48" s="152">
        <f>L14+J18+L22+L26+L28+J31+J35</f>
        <v>16</v>
      </c>
      <c r="V48" s="152">
        <f>J14+L18+J22+J26+J28+L31+L35</f>
        <v>3</v>
      </c>
      <c r="W48" s="152">
        <f>+R14+Q18+R22+R26+R28+Q31+Q35</f>
        <v>13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58349-AA5B-4A91-B0E4-8AB6F68CC939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0</v>
      </c>
      <c r="K21" s="124" t="s">
        <v>294</v>
      </c>
      <c r="L21" s="125">
        <v>1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0</v>
      </c>
      <c r="K26" s="124" t="s">
        <v>294</v>
      </c>
      <c r="L26" s="125">
        <v>4</v>
      </c>
      <c r="M26" s="126" t="str">
        <f>Scheids!$F$14</f>
        <v>Jack Altena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0</v>
      </c>
      <c r="K27" s="124" t="s">
        <v>294</v>
      </c>
      <c r="L27" s="125">
        <v>1</v>
      </c>
      <c r="M27" s="126" t="str">
        <f>Scheids!$F$14</f>
        <v>Jack Altena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0</v>
      </c>
      <c r="K28" s="124" t="s">
        <v>294</v>
      </c>
      <c r="L28" s="125">
        <v>3</v>
      </c>
      <c r="M28" s="126" t="str">
        <f>Scheids!$F$14</f>
        <v>Jack Altena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0</v>
      </c>
      <c r="K29" s="124" t="s">
        <v>294</v>
      </c>
      <c r="L29" s="125">
        <v>0</v>
      </c>
      <c r="M29" s="126" t="str">
        <f>Scheids!$D$14</f>
        <v>Rob Staakman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1</v>
      </c>
      <c r="K30" s="124" t="s">
        <v>294</v>
      </c>
      <c r="L30" s="125">
        <v>0</v>
      </c>
      <c r="M30" s="126" t="str">
        <f>Scheids!$D$14</f>
        <v>Rob Staakman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3</v>
      </c>
      <c r="K31" s="124" t="s">
        <v>294</v>
      </c>
      <c r="L31" s="125">
        <v>0</v>
      </c>
      <c r="M31" s="126" t="str">
        <f>Scheids!$D$14</f>
        <v>Rob Staakman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>
        <v>0</v>
      </c>
      <c r="K32" s="124" t="s">
        <v>294</v>
      </c>
      <c r="L32" s="125">
        <v>2</v>
      </c>
      <c r="M32" s="126" t="str">
        <f>Scheids!$F$14</f>
        <v>Jack Altena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>
        <v>0</v>
      </c>
      <c r="K33" s="124" t="s">
        <v>294</v>
      </c>
      <c r="L33" s="125">
        <v>3</v>
      </c>
      <c r="M33" s="126" t="str">
        <f>Scheids!$F$14</f>
        <v>Jack Altena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>
        <v>1</v>
      </c>
      <c r="K34" s="124" t="s">
        <v>294</v>
      </c>
      <c r="L34" s="125">
        <v>1</v>
      </c>
      <c r="M34" s="126" t="str">
        <f>Scheids!$F$14</f>
        <v>Jack Altena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>
        <v>1</v>
      </c>
      <c r="K35" s="124" t="s">
        <v>294</v>
      </c>
      <c r="L35" s="125">
        <v>1</v>
      </c>
      <c r="M35" s="126" t="str">
        <f>Scheids!$D$14</f>
        <v>Rob Staakman</v>
      </c>
      <c r="N35" s="127"/>
      <c r="O35" s="128"/>
      <c r="Q35" s="129">
        <v>2</v>
      </c>
      <c r="R35" s="129">
        <v>2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>
        <v>1</v>
      </c>
      <c r="K36" s="124" t="s">
        <v>294</v>
      </c>
      <c r="L36" s="125">
        <v>0</v>
      </c>
      <c r="M36" s="126" t="str">
        <f>Scheids!$D$14</f>
        <v>Rob Staakman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>
        <v>3</v>
      </c>
      <c r="K37" s="124" t="s">
        <v>294</v>
      </c>
      <c r="L37" s="125">
        <v>0</v>
      </c>
      <c r="M37" s="126" t="str">
        <f>Scheids!$F$14</f>
        <v>Jack Altena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>
        <v>2</v>
      </c>
      <c r="K38" s="139" t="s">
        <v>294</v>
      </c>
      <c r="L38" s="140">
        <v>0</v>
      </c>
      <c r="M38" s="141" t="str">
        <f>Scheids!$F$14</f>
        <v>Jack Altena</v>
      </c>
      <c r="N38" s="142"/>
      <c r="O38" s="143"/>
      <c r="Q38" s="129">
        <v>2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8</v>
      </c>
      <c r="Q41" s="152">
        <f t="shared" ref="Q41:Q48" si="0">COUNT(E41:N41)</f>
        <v>7</v>
      </c>
      <c r="R41" s="152">
        <f>COUNTIFS(E41:N41,3)</f>
        <v>2</v>
      </c>
      <c r="S41" s="152">
        <f>COUNTIFS(E41:N41,0)</f>
        <v>3</v>
      </c>
      <c r="T41" s="152">
        <f>COUNTIFS(E41:N41,1)</f>
        <v>2</v>
      </c>
      <c r="U41" s="152">
        <f>J11+L18+J21+J23+L29+J34+L36</f>
        <v>6</v>
      </c>
      <c r="V41" s="152">
        <f>L11+J18+L21+L23+J29+L34+J36</f>
        <v>8</v>
      </c>
      <c r="W41" s="152">
        <f>Q11+R18+Q21+Q23+R29+Q34+R36</f>
        <v>11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0</v>
      </c>
      <c r="Q42" s="152">
        <f t="shared" si="0"/>
        <v>7</v>
      </c>
      <c r="R42" s="152">
        <f t="shared" ref="R42:R48" si="2">COUNTIFS(E42:N42,3)</f>
        <v>0</v>
      </c>
      <c r="S42" s="152">
        <f t="shared" ref="S42:S48" si="3">COUNTIFS(E42:N42,0)</f>
        <v>7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21</v>
      </c>
      <c r="W42" s="152">
        <f>R11+Q15+R19+Q25+Q28+Q33+R37</f>
        <v>7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1</v>
      </c>
      <c r="O43" s="157" cm="1">
        <f t="array" ref="O43">IF(SUMPRODUCT(--(E43:N43&lt;&gt;""))&lt;&gt;0,SUM(E43:N43),"")</f>
        <v>5</v>
      </c>
      <c r="Q43" s="152">
        <f t="shared" si="0"/>
        <v>7</v>
      </c>
      <c r="R43" s="152">
        <f t="shared" si="2"/>
        <v>1</v>
      </c>
      <c r="S43" s="152">
        <f t="shared" si="3"/>
        <v>4</v>
      </c>
      <c r="T43" s="152">
        <f t="shared" si="4"/>
        <v>2</v>
      </c>
      <c r="U43" s="152">
        <f>J12+L15+J20+L23+J27+J32+L35</f>
        <v>5</v>
      </c>
      <c r="V43" s="152">
        <f>L12+J15+L20+J23+L27+L32+J35</f>
        <v>7</v>
      </c>
      <c r="W43" s="152">
        <f>Q12+R15+Q20+R23+Q27+Q32+R35</f>
        <v>11</v>
      </c>
      <c r="X43" s="129">
        <f t="shared" si="1"/>
        <v>6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0</v>
      </c>
      <c r="N44" s="157">
        <f>IF(AND($J$38&lt;&gt;"",$L$38&lt;&gt;""),IF($J$38&lt;$L$38,3,IF($J$38=$L$38,1,0)),"")</f>
        <v>0</v>
      </c>
      <c r="O44" s="157" cm="1">
        <f t="array" ref="O44">IF(SUMPRODUCT(--(E44:N44&lt;&gt;""))&lt;&gt;0,SUM(E44:N44),"")</f>
        <v>13</v>
      </c>
      <c r="Q44" s="152">
        <f t="shared" si="0"/>
        <v>7</v>
      </c>
      <c r="R44" s="152">
        <f t="shared" si="2"/>
        <v>4</v>
      </c>
      <c r="S44" s="152">
        <f t="shared" si="3"/>
        <v>2</v>
      </c>
      <c r="T44" s="152">
        <f t="shared" si="4"/>
        <v>1</v>
      </c>
      <c r="U44" s="152">
        <f>L12+J16+J19+L24+J29+L31+L38</f>
        <v>6</v>
      </c>
      <c r="V44" s="152">
        <f>J12+L16+L19+J24+L29+J31+J38</f>
        <v>5</v>
      </c>
      <c r="W44" s="152">
        <f>R12+Q16+Q19+R24+Q29+R31+R38</f>
        <v>11</v>
      </c>
      <c r="X44" s="129">
        <f t="shared" si="1"/>
        <v>3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5</v>
      </c>
      <c r="Q45" s="152">
        <f t="shared" si="0"/>
        <v>7</v>
      </c>
      <c r="R45" s="152">
        <f t="shared" si="2"/>
        <v>1</v>
      </c>
      <c r="S45" s="152">
        <f t="shared" si="3"/>
        <v>4</v>
      </c>
      <c r="T45" s="152">
        <f t="shared" si="4"/>
        <v>2</v>
      </c>
      <c r="U45" s="152">
        <f>J13+L16+L20+J26+L30+L34+J37</f>
        <v>4</v>
      </c>
      <c r="V45" s="152">
        <f>L13+J16+J20+L26+J30+J34+L37</f>
        <v>8</v>
      </c>
      <c r="W45" s="152">
        <f>Q13+R16+R20+Q26+R30+R34+Q37</f>
        <v>11</v>
      </c>
      <c r="X45" s="129">
        <f t="shared" si="1"/>
        <v>6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12</v>
      </c>
      <c r="Q46" s="152">
        <f t="shared" si="0"/>
        <v>7</v>
      </c>
      <c r="R46" s="152">
        <f t="shared" si="2"/>
        <v>4</v>
      </c>
      <c r="S46" s="152">
        <f t="shared" si="3"/>
        <v>3</v>
      </c>
      <c r="T46" s="152">
        <f t="shared" si="4"/>
        <v>0</v>
      </c>
      <c r="U46" s="152">
        <f>L13+J17+J22+J24+L27+L33+J36</f>
        <v>6</v>
      </c>
      <c r="V46" s="152">
        <f>J13+L17+L22+L24+J27+J33+L36</f>
        <v>3</v>
      </c>
      <c r="W46" s="152">
        <f>R13+Q17+Q22+Q24+R27+R33+Q36</f>
        <v>12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3</v>
      </c>
      <c r="O47" s="157" cm="1">
        <f t="array" ref="O47">IF(SUMPRODUCT(--(E47:N47&lt;&gt;""))&lt;&gt;0,SUM(E47:N47),"")</f>
        <v>18</v>
      </c>
      <c r="Q47" s="152">
        <f t="shared" si="0"/>
        <v>7</v>
      </c>
      <c r="R47" s="152">
        <f t="shared" si="2"/>
        <v>6</v>
      </c>
      <c r="S47" s="152">
        <f t="shared" si="3"/>
        <v>1</v>
      </c>
      <c r="T47" s="152">
        <f t="shared" si="4"/>
        <v>0</v>
      </c>
      <c r="U47" s="152">
        <f>J14+L17+L21+L25+J30+L32+J38</f>
        <v>10</v>
      </c>
      <c r="V47" s="152">
        <f>L14+J17+J21+J25+L30+J32+L38</f>
        <v>2</v>
      </c>
      <c r="W47" s="152">
        <f>Q14+R17+R21+R25+Q30+R32+Q38</f>
        <v>13</v>
      </c>
      <c r="X47" s="129">
        <f t="shared" si="1"/>
        <v>2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1</v>
      </c>
      <c r="O48" s="157" cm="1">
        <f t="array" ref="O48">IF(SUMPRODUCT(--(E48:N48&lt;&gt;""))&lt;&gt;0,SUM(E48:N48),"")</f>
        <v>19</v>
      </c>
      <c r="Q48" s="152">
        <f t="shared" si="0"/>
        <v>7</v>
      </c>
      <c r="R48" s="152">
        <f t="shared" si="2"/>
        <v>6</v>
      </c>
      <c r="S48" s="152">
        <f t="shared" si="3"/>
        <v>0</v>
      </c>
      <c r="T48" s="152">
        <f t="shared" si="4"/>
        <v>1</v>
      </c>
      <c r="U48" s="152">
        <f>L14+J18+L22+L26+L28+J31+J35</f>
        <v>18</v>
      </c>
      <c r="V48" s="152">
        <f>J14+L18+J22+J26+J28+L31+L35</f>
        <v>1</v>
      </c>
      <c r="W48" s="152">
        <f>+R14+Q18+R22+R26+R28+Q31+Q35</f>
        <v>13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64A0-1E3B-480F-B0D0-458261C28D40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0</v>
      </c>
      <c r="M26" s="126" t="str">
        <f>Scheids!$F$15</f>
        <v>Anita Schouten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0</v>
      </c>
      <c r="M27" s="126" t="str">
        <f>Scheids!$F$15</f>
        <v>Anita Schouten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0</v>
      </c>
      <c r="K28" s="124" t="s">
        <v>294</v>
      </c>
      <c r="L28" s="125">
        <v>0</v>
      </c>
      <c r="M28" s="126" t="str">
        <f>Scheids!$F$15</f>
        <v>Anita Schouten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1</v>
      </c>
      <c r="M29" s="126" t="str">
        <f>Scheids!$D$15</f>
        <v>Rien Beenen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0</v>
      </c>
      <c r="K30" s="124" t="s">
        <v>294</v>
      </c>
      <c r="L30" s="125">
        <v>0</v>
      </c>
      <c r="M30" s="126" t="str">
        <f>Scheids!$D$15</f>
        <v>Rien Beenen</v>
      </c>
      <c r="N30" s="127"/>
      <c r="O30" s="128"/>
      <c r="Q30" s="129">
        <v>1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0</v>
      </c>
      <c r="K31" s="124" t="s">
        <v>294</v>
      </c>
      <c r="L31" s="125">
        <v>5</v>
      </c>
      <c r="M31" s="126" t="str">
        <f>Scheids!$D$15</f>
        <v>Rien Beenen</v>
      </c>
      <c r="N31" s="127"/>
      <c r="O31" s="128"/>
      <c r="Q31" s="129">
        <v>0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>
        <v>0</v>
      </c>
      <c r="K32" s="124" t="s">
        <v>294</v>
      </c>
      <c r="L32" s="125">
        <v>1</v>
      </c>
      <c r="M32" s="126" t="str">
        <f>Scheids!$F$15</f>
        <v>Anita Schouten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>
        <v>0</v>
      </c>
      <c r="K33" s="124" t="s">
        <v>294</v>
      </c>
      <c r="L33" s="125">
        <v>0</v>
      </c>
      <c r="M33" s="126" t="str">
        <f>Scheids!$F$15</f>
        <v>Anita Schouten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>
        <v>1</v>
      </c>
      <c r="K34" s="124" t="s">
        <v>294</v>
      </c>
      <c r="L34" s="125">
        <v>1</v>
      </c>
      <c r="M34" s="126" t="str">
        <f>Scheids!$F$15</f>
        <v>Anita Schouten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>
        <v>0</v>
      </c>
      <c r="K35" s="124" t="s">
        <v>294</v>
      </c>
      <c r="L35" s="125">
        <v>3</v>
      </c>
      <c r="M35" s="126" t="str">
        <f>Scheids!$D$15</f>
        <v>Rien Beenen</v>
      </c>
      <c r="N35" s="127"/>
      <c r="O35" s="128"/>
      <c r="Q35" s="129">
        <v>2</v>
      </c>
      <c r="R35" s="129">
        <v>2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>
        <v>1</v>
      </c>
      <c r="K36" s="124" t="s">
        <v>294</v>
      </c>
      <c r="L36" s="125">
        <v>1</v>
      </c>
      <c r="M36" s="126" t="str">
        <f>Scheids!$D$15</f>
        <v>Rien Beenen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>
        <v>0</v>
      </c>
      <c r="K37" s="124" t="s">
        <v>294</v>
      </c>
      <c r="L37" s="125">
        <v>0</v>
      </c>
      <c r="M37" s="126" t="str">
        <f>Scheids!$F$15</f>
        <v>Anita Schouten</v>
      </c>
      <c r="N37" s="127"/>
      <c r="O37" s="128"/>
      <c r="Q37" s="129">
        <v>2</v>
      </c>
      <c r="R37" s="129">
        <v>2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>
        <v>1</v>
      </c>
      <c r="K38" s="139" t="s">
        <v>294</v>
      </c>
      <c r="L38" s="140">
        <v>1</v>
      </c>
      <c r="M38" s="141" t="str">
        <f>Scheids!$F$15</f>
        <v>Anita Schouten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15</v>
      </c>
      <c r="Q41" s="152">
        <f t="shared" ref="Q41:Q48" si="0">COUNT(E41:N41)</f>
        <v>7</v>
      </c>
      <c r="R41" s="152">
        <f>COUNTIFS(E41:N41,3)</f>
        <v>4</v>
      </c>
      <c r="S41" s="152">
        <f>COUNTIFS(E41:N41,0)</f>
        <v>0</v>
      </c>
      <c r="T41" s="152">
        <f>COUNTIFS(E41:N41,1)</f>
        <v>3</v>
      </c>
      <c r="U41" s="152">
        <f>J11+L18+J21+J23+L29+J34+L36</f>
        <v>13</v>
      </c>
      <c r="V41" s="152">
        <f>L11+J18+L21+L23+J29+L34+J36</f>
        <v>3</v>
      </c>
      <c r="W41" s="152">
        <f>Q11+R18+Q21+Q23+R29+Q34+R36</f>
        <v>14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1</v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7</v>
      </c>
      <c r="Q42" s="152">
        <f t="shared" si="0"/>
        <v>7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4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13</v>
      </c>
      <c r="X42" s="129">
        <f t="shared" si="1"/>
        <v>6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3</v>
      </c>
      <c r="O43" s="157" cm="1">
        <f t="array" ref="O43">IF(SUMPRODUCT(--(E43:N43&lt;&gt;""))&lt;&gt;0,SUM(E43:N43),"")</f>
        <v>10</v>
      </c>
      <c r="Q43" s="152">
        <f t="shared" si="0"/>
        <v>7</v>
      </c>
      <c r="R43" s="152">
        <f t="shared" si="2"/>
        <v>3</v>
      </c>
      <c r="S43" s="152">
        <f t="shared" si="3"/>
        <v>3</v>
      </c>
      <c r="T43" s="152">
        <f t="shared" si="4"/>
        <v>1</v>
      </c>
      <c r="U43" s="152">
        <f>J12+L15+J20+L23+J27+J32+L35</f>
        <v>5</v>
      </c>
      <c r="V43" s="152">
        <f>L12+J15+L20+J23+L27+L32+J35</f>
        <v>4</v>
      </c>
      <c r="W43" s="152">
        <f>Q12+R15+Q20+R23+Q27+Q32+R35</f>
        <v>10</v>
      </c>
      <c r="X43" s="129">
        <f t="shared" si="1"/>
        <v>4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7</v>
      </c>
      <c r="R44" s="152">
        <f t="shared" si="2"/>
        <v>1</v>
      </c>
      <c r="S44" s="152">
        <f t="shared" si="3"/>
        <v>3</v>
      </c>
      <c r="T44" s="152">
        <f t="shared" si="4"/>
        <v>3</v>
      </c>
      <c r="U44" s="152">
        <f>L12+J16+J19+L24+J29+L31+L38</f>
        <v>8</v>
      </c>
      <c r="V44" s="152">
        <f>J12+L16+L19+J24+L29+J31+J38</f>
        <v>7</v>
      </c>
      <c r="W44" s="152">
        <f>R12+Q16+Q19+R24+Q29+R31+R38</f>
        <v>14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11</v>
      </c>
      <c r="Q45" s="152">
        <f t="shared" si="0"/>
        <v>7</v>
      </c>
      <c r="R45" s="152">
        <f t="shared" si="2"/>
        <v>2</v>
      </c>
      <c r="S45" s="152">
        <f t="shared" si="3"/>
        <v>0</v>
      </c>
      <c r="T45" s="152">
        <f t="shared" si="4"/>
        <v>5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13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2</v>
      </c>
      <c r="S46" s="152">
        <f t="shared" si="3"/>
        <v>1</v>
      </c>
      <c r="T46" s="152">
        <f t="shared" si="4"/>
        <v>4</v>
      </c>
      <c r="U46" s="152">
        <f>L13+J17+J22+J24+L27+L33+J36</f>
        <v>4</v>
      </c>
      <c r="V46" s="152">
        <f>J13+L17+L22+L24+J27+J33+L36</f>
        <v>2</v>
      </c>
      <c r="W46" s="152">
        <f>R13+Q17+Q22+Q24+R27+R33+Q36</f>
        <v>12</v>
      </c>
      <c r="X46" s="129">
        <f t="shared" si="1"/>
        <v>4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11</v>
      </c>
      <c r="Q47" s="152">
        <f t="shared" si="0"/>
        <v>7</v>
      </c>
      <c r="R47" s="152">
        <f t="shared" si="2"/>
        <v>3</v>
      </c>
      <c r="S47" s="152">
        <f t="shared" si="3"/>
        <v>2</v>
      </c>
      <c r="T47" s="152">
        <f t="shared" si="4"/>
        <v>2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11</v>
      </c>
      <c r="X47" s="129">
        <f t="shared" si="1"/>
        <v>2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1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2</v>
      </c>
      <c r="Q48" s="152">
        <f t="shared" si="0"/>
        <v>7</v>
      </c>
      <c r="R48" s="152">
        <f t="shared" si="2"/>
        <v>0</v>
      </c>
      <c r="S48" s="152">
        <f t="shared" si="3"/>
        <v>5</v>
      </c>
      <c r="T48" s="152">
        <f t="shared" si="4"/>
        <v>2</v>
      </c>
      <c r="U48" s="152">
        <f>L14+J18+L22+L26+L28+J31+J35</f>
        <v>0</v>
      </c>
      <c r="V48" s="152">
        <f>J14+L18+J22+J26+J28+L31+L35</f>
        <v>14</v>
      </c>
      <c r="W48" s="152">
        <f>+R14+Q18+R22+R26+R28+Q31+Q35</f>
        <v>10</v>
      </c>
      <c r="X48" s="129">
        <f t="shared" si="1"/>
        <v>8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2FDE-1170-4F21-98BB-3B48FC2A4AD2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0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0</v>
      </c>
      <c r="M29" s="126" t="str">
        <f>Scheids!$D$16</f>
        <v>Diana Schouten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0</v>
      </c>
      <c r="K30" s="124" t="s">
        <v>294</v>
      </c>
      <c r="L30" s="125">
        <v>4</v>
      </c>
      <c r="M30" s="126" t="str">
        <f>Scheids!$D$16</f>
        <v>Diana Schouten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>
        <v>0</v>
      </c>
      <c r="K32" s="124" t="s">
        <v>294</v>
      </c>
      <c r="L32" s="125">
        <v>2</v>
      </c>
      <c r="M32" s="126" t="str">
        <f>Scheids!$F$16</f>
        <v>Frank Maat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>
        <v>3</v>
      </c>
      <c r="K33" s="124" t="s">
        <v>294</v>
      </c>
      <c r="L33" s="125">
        <v>0</v>
      </c>
      <c r="M33" s="126" t="str">
        <f>Scheids!$F$16</f>
        <v>Frank Maat</v>
      </c>
      <c r="N33" s="127"/>
      <c r="O33" s="128"/>
      <c r="Q33" s="129">
        <v>1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>
        <v>0</v>
      </c>
      <c r="K34" s="124" t="s">
        <v>294</v>
      </c>
      <c r="L34" s="125">
        <v>8</v>
      </c>
      <c r="M34" s="126" t="str">
        <f>Scheids!$F$16</f>
        <v>Frank Maat</v>
      </c>
      <c r="N34" s="127"/>
      <c r="O34" s="128"/>
      <c r="Q34" s="129">
        <v>2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>
        <v>1</v>
      </c>
      <c r="K36" s="124" t="s">
        <v>294</v>
      </c>
      <c r="L36" s="125">
        <v>0</v>
      </c>
      <c r="M36" s="126" t="str">
        <f>Scheids!$D$16</f>
        <v>Diana Schouten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>
        <v>1</v>
      </c>
      <c r="K37" s="124" t="s">
        <v>294</v>
      </c>
      <c r="L37" s="125">
        <v>0</v>
      </c>
      <c r="M37" s="126" t="str">
        <f>Scheids!$F$16</f>
        <v>Frank Maat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>
        <v>0</v>
      </c>
      <c r="K38" s="139" t="s">
        <v>294</v>
      </c>
      <c r="L38" s="140">
        <v>3</v>
      </c>
      <c r="M38" s="141" t="str">
        <f>Scheids!$F$16</f>
        <v>Frank Maat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5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15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15</v>
      </c>
      <c r="V42" s="152">
        <f>J11+L15+J19+L25+L28+L33+J37</f>
        <v>1</v>
      </c>
      <c r="W42" s="152">
        <f>R11+Q15+R19+Q25+Q28+Q33+R37</f>
        <v>6</v>
      </c>
      <c r="X42" s="129">
        <f t="shared" si="1"/>
        <v>2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6</v>
      </c>
      <c r="R43" s="152">
        <f t="shared" si="2"/>
        <v>0</v>
      </c>
      <c r="S43" s="152">
        <f t="shared" si="3"/>
        <v>5</v>
      </c>
      <c r="T43" s="152">
        <f t="shared" si="4"/>
        <v>1</v>
      </c>
      <c r="U43" s="152">
        <f>J12+L15+J20+L23+J27+J32+L35</f>
        <v>1</v>
      </c>
      <c r="V43" s="152">
        <f>L12+J15+L20+J23+L27+L32+J35</f>
        <v>14</v>
      </c>
      <c r="W43" s="152">
        <f>Q12+R15+Q20+R23+Q27+Q32+R35</f>
        <v>10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12</v>
      </c>
      <c r="Q44" s="152">
        <f t="shared" si="0"/>
        <v>6</v>
      </c>
      <c r="R44" s="152">
        <f t="shared" si="2"/>
        <v>4</v>
      </c>
      <c r="S44" s="152">
        <f t="shared" si="3"/>
        <v>2</v>
      </c>
      <c r="T44" s="152">
        <f t="shared" si="4"/>
        <v>0</v>
      </c>
      <c r="U44" s="152">
        <f>L12+J16+J19+L24+J29+L31+L38</f>
        <v>10</v>
      </c>
      <c r="V44" s="152">
        <f>J12+L16+L19+J24+L29+J31+J38</f>
        <v>2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18</v>
      </c>
      <c r="Q45" s="152">
        <f t="shared" si="0"/>
        <v>6</v>
      </c>
      <c r="R45" s="152">
        <f t="shared" si="2"/>
        <v>6</v>
      </c>
      <c r="S45" s="152">
        <f t="shared" si="3"/>
        <v>0</v>
      </c>
      <c r="T45" s="152">
        <f t="shared" si="4"/>
        <v>0</v>
      </c>
      <c r="U45" s="152">
        <f>J13+L16+L20+J26+L30+L34+J37</f>
        <v>23</v>
      </c>
      <c r="V45" s="152">
        <f>L13+J16+J20+L26+J30+J34+L37</f>
        <v>0</v>
      </c>
      <c r="W45" s="152">
        <f>Q13+R16+R20+Q26+R30+R34+Q37</f>
        <v>8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6</v>
      </c>
      <c r="V46" s="152">
        <f>J13+L17+L22+L24+J27+J33+L36</f>
        <v>14</v>
      </c>
      <c r="W46" s="152">
        <f>R13+Q17+Q22+Q24+R27+R33+Q36</f>
        <v>10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2"/>
        <v>2</v>
      </c>
      <c r="S47" s="152">
        <f t="shared" si="3"/>
        <v>4</v>
      </c>
      <c r="T47" s="152">
        <f t="shared" si="4"/>
        <v>0</v>
      </c>
      <c r="U47" s="152">
        <f>J14+L17+L21+L25+J30+L32+J38</f>
        <v>6</v>
      </c>
      <c r="V47" s="152">
        <f>L14+J17+J21+J25+L30+J32+L38</f>
        <v>12</v>
      </c>
      <c r="W47" s="152">
        <f>Q14+R17+R21+R25+Q30+R32+Q38</f>
        <v>7</v>
      </c>
      <c r="X47" s="129">
        <f t="shared" si="1"/>
        <v>5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0B563-CDF5-4C57-8746-008E26C8802F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0</v>
      </c>
      <c r="K27" s="124" t="s">
        <v>294</v>
      </c>
      <c r="L27" s="125">
        <v>4</v>
      </c>
      <c r="M27" s="126" t="str">
        <f>Scheids!$D$17</f>
        <v>Patrick vd Helm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3</v>
      </c>
      <c r="K29" s="124" t="s">
        <v>294</v>
      </c>
      <c r="L29" s="125">
        <v>0</v>
      </c>
      <c r="M29" s="126" t="str">
        <f>Scheids!$D$17</f>
        <v>Patrick vd Helm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0</v>
      </c>
      <c r="M30" s="126" t="str">
        <f>Scheids!$D$17</f>
        <v>Patrick vd Helm</v>
      </c>
      <c r="N30" s="127"/>
      <c r="O30" s="128"/>
      <c r="Q30" s="129">
        <v>2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>
        <v>0</v>
      </c>
      <c r="K32" s="124" t="s">
        <v>294</v>
      </c>
      <c r="L32" s="125">
        <v>1</v>
      </c>
      <c r="M32" s="126" t="str">
        <f>Scheids!$F$17</f>
        <v>Quinten Kube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>
        <v>0</v>
      </c>
      <c r="K33" s="124" t="s">
        <v>294</v>
      </c>
      <c r="L33" s="125">
        <v>6</v>
      </c>
      <c r="M33" s="126" t="str">
        <f>Scheids!$F$17</f>
        <v>Quinten Kube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>
        <v>0</v>
      </c>
      <c r="K34" s="124" t="s">
        <v>294</v>
      </c>
      <c r="L34" s="125">
        <v>5</v>
      </c>
      <c r="M34" s="126" t="str">
        <f>Scheids!$F$17</f>
        <v>Quinten Kube</v>
      </c>
      <c r="N34" s="127"/>
      <c r="O34" s="128"/>
      <c r="Q34" s="129">
        <v>0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>
        <v>6</v>
      </c>
      <c r="K36" s="124" t="s">
        <v>294</v>
      </c>
      <c r="L36" s="125">
        <v>0</v>
      </c>
      <c r="M36" s="126" t="str">
        <f>Scheids!$D$17</f>
        <v>Patrick vd Helm</v>
      </c>
      <c r="N36" s="127"/>
      <c r="O36" s="128"/>
      <c r="Q36" s="129">
        <v>1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>
        <v>0</v>
      </c>
      <c r="K37" s="124" t="s">
        <v>294</v>
      </c>
      <c r="L37" s="125">
        <v>2</v>
      </c>
      <c r="M37" s="126" t="str">
        <f>Scheids!$F$17</f>
        <v>Quinten Kube</v>
      </c>
      <c r="N37" s="127"/>
      <c r="O37" s="128"/>
      <c r="Q37" s="129">
        <v>0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>
        <v>1</v>
      </c>
      <c r="K38" s="139" t="s">
        <v>294</v>
      </c>
      <c r="L38" s="140">
        <v>0</v>
      </c>
      <c r="M38" s="141" t="str">
        <f>Scheids!$F$17</f>
        <v>Quinten Kube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5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18</v>
      </c>
      <c r="W41" s="152">
        <f>Q11+R18+Q21+Q23+R29+Q34+R36</f>
        <v>10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5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2</v>
      </c>
      <c r="U42" s="152">
        <f>L11+J15+L19+J25+J28+J33+L37</f>
        <v>4</v>
      </c>
      <c r="V42" s="152">
        <f>J11+L15+J19+L25+L28+L33+J37</f>
        <v>15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3</v>
      </c>
      <c r="V43" s="152">
        <f>L12+J15+L20+J23+L27+L32+J35</f>
        <v>9</v>
      </c>
      <c r="W43" s="152">
        <f>Q12+R15+Q20+R23+Q27+Q32+R35</f>
        <v>10</v>
      </c>
      <c r="X43" s="129">
        <f t="shared" si="1"/>
        <v>6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0</v>
      </c>
      <c r="O44" s="157" cm="1">
        <f t="array" ref="O44">IF(SUMPRODUCT(--(E44:N44&lt;&gt;""))&lt;&gt;0,SUM(E44:N44),"")</f>
        <v>10</v>
      </c>
      <c r="Q44" s="152">
        <f t="shared" si="0"/>
        <v>6</v>
      </c>
      <c r="R44" s="152">
        <f t="shared" si="2"/>
        <v>3</v>
      </c>
      <c r="S44" s="152">
        <f t="shared" si="3"/>
        <v>2</v>
      </c>
      <c r="T44" s="152">
        <f t="shared" si="4"/>
        <v>1</v>
      </c>
      <c r="U44" s="152">
        <f>L12+J16+J19+L24+J29+L31+L38</f>
        <v>6</v>
      </c>
      <c r="V44" s="152">
        <f>J12+L16+L19+J24+L29+J31+J38</f>
        <v>5</v>
      </c>
      <c r="W44" s="152">
        <f>R12+Q16+Q19+R24+Q29+R31+R38</f>
        <v>12</v>
      </c>
      <c r="X44" s="129">
        <f t="shared" si="1"/>
        <v>3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7</v>
      </c>
      <c r="Q45" s="152">
        <f t="shared" si="0"/>
        <v>6</v>
      </c>
      <c r="R45" s="152">
        <f t="shared" si="2"/>
        <v>2</v>
      </c>
      <c r="S45" s="152">
        <f t="shared" si="3"/>
        <v>3</v>
      </c>
      <c r="T45" s="152">
        <f t="shared" si="4"/>
        <v>1</v>
      </c>
      <c r="U45" s="152">
        <f>J13+L16+L20+J26+L30+L34+J37</f>
        <v>7</v>
      </c>
      <c r="V45" s="152">
        <f>L13+J16+J20+L26+J30+J34+L37</f>
        <v>7</v>
      </c>
      <c r="W45" s="152">
        <f>Q13+R16+R20+Q26+R30+R34+Q37</f>
        <v>7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24</v>
      </c>
      <c r="V46" s="152">
        <f>J13+L17+L22+L24+J27+J33+L36</f>
        <v>0</v>
      </c>
      <c r="W46" s="152">
        <f>R13+Q17+Q22+Q24+R27+R33+Q36</f>
        <v>11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3</v>
      </c>
      <c r="O47" s="157" cm="1">
        <f t="array" ref="O47">IF(SUMPRODUCT(--(E47:N47&lt;&gt;""))&lt;&gt;0,SUM(E47:N47),"")</f>
        <v>15</v>
      </c>
      <c r="Q47" s="152">
        <f t="shared" si="0"/>
        <v>6</v>
      </c>
      <c r="R47" s="152">
        <f t="shared" si="2"/>
        <v>5</v>
      </c>
      <c r="S47" s="152">
        <f t="shared" si="3"/>
        <v>1</v>
      </c>
      <c r="T47" s="152">
        <f t="shared" si="4"/>
        <v>0</v>
      </c>
      <c r="U47" s="152">
        <f>J14+L17+L21+L25+J30+L32+J38</f>
        <v>12</v>
      </c>
      <c r="V47" s="152">
        <f>L14+J17+J21+J25+L30+J32+L38</f>
        <v>3</v>
      </c>
      <c r="W47" s="152">
        <f>Q14+R17+R21+R25+Q30+R32+Q38</f>
        <v>12</v>
      </c>
      <c r="X47" s="129">
        <f t="shared" si="1"/>
        <v>2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71CCB-BE3F-4999-A934-0D145B6CE0FA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0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1</v>
      </c>
      <c r="M29" s="126" t="str">
        <f>Scheids!$D$18</f>
        <v>Martin van Blitterswijk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3</v>
      </c>
      <c r="K30" s="124" t="s">
        <v>294</v>
      </c>
      <c r="L30" s="125">
        <v>0</v>
      </c>
      <c r="M30" s="126" t="str">
        <f>Scheids!$D$18</f>
        <v>Martin van Blitterswijk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>
        <v>0</v>
      </c>
      <c r="K32" s="124" t="s">
        <v>294</v>
      </c>
      <c r="L32" s="125">
        <v>4</v>
      </c>
      <c r="M32" s="126" t="str">
        <f>Scheids!$F$18</f>
        <v>Andrew Kube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>
        <v>0</v>
      </c>
      <c r="K33" s="124" t="s">
        <v>294</v>
      </c>
      <c r="L33" s="125">
        <v>4</v>
      </c>
      <c r="M33" s="126" t="str">
        <f>Scheids!$F$18</f>
        <v>Andrew Kube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>
        <v>0</v>
      </c>
      <c r="K34" s="124" t="s">
        <v>294</v>
      </c>
      <c r="L34" s="125">
        <v>1</v>
      </c>
      <c r="M34" s="126" t="str">
        <f>Scheids!$F$18</f>
        <v>Andrew Kube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>
        <v>3</v>
      </c>
      <c r="K36" s="124" t="s">
        <v>294</v>
      </c>
      <c r="L36" s="125">
        <v>1</v>
      </c>
      <c r="M36" s="126" t="str">
        <f>Scheids!$D$18</f>
        <v>Martin van Blitterswijk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>
        <v>2</v>
      </c>
      <c r="K37" s="124" t="s">
        <v>294</v>
      </c>
      <c r="L37" s="125">
        <v>0</v>
      </c>
      <c r="M37" s="126" t="str">
        <f>Scheids!$F$18</f>
        <v>Andrew Kube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>
        <v>0</v>
      </c>
      <c r="K38" s="139" t="s">
        <v>294</v>
      </c>
      <c r="L38" s="140">
        <v>1</v>
      </c>
      <c r="M38" s="141" t="str">
        <f>Scheids!$F$18</f>
        <v>Andrew Kube</v>
      </c>
      <c r="N38" s="142"/>
      <c r="O38" s="143"/>
      <c r="Q38" s="129">
        <v>0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7</v>
      </c>
      <c r="Q41" s="152">
        <f t="shared" ref="Q41:Q48" si="0">COUNT(E41:N41)</f>
        <v>6</v>
      </c>
      <c r="R41" s="152">
        <f>COUNTIFS(E41:N41,3)</f>
        <v>2</v>
      </c>
      <c r="S41" s="152">
        <f>COUNTIFS(E41:N41,0)</f>
        <v>3</v>
      </c>
      <c r="T41" s="152">
        <f>COUNTIFS(E41:N41,1)</f>
        <v>1</v>
      </c>
      <c r="U41" s="152">
        <f>J11+L18+J21+J23+L29+J34+L36</f>
        <v>7</v>
      </c>
      <c r="V41" s="152">
        <f>L11+J18+L21+L23+J29+L34+J36</f>
        <v>7</v>
      </c>
      <c r="W41" s="152">
        <f>Q11+R18+Q21+Q23+R29+Q34+R36</f>
        <v>6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3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14</v>
      </c>
      <c r="W42" s="152">
        <f>R11+Q15+R19+Q25+Q28+Q33+R37</f>
        <v>7</v>
      </c>
      <c r="X42" s="129">
        <f t="shared" si="1"/>
        <v>6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6</v>
      </c>
      <c r="R43" s="152">
        <f t="shared" si="2"/>
        <v>0</v>
      </c>
      <c r="S43" s="152">
        <f t="shared" si="3"/>
        <v>6</v>
      </c>
      <c r="T43" s="152">
        <f t="shared" si="4"/>
        <v>0</v>
      </c>
      <c r="U43" s="152">
        <f>J12+L15+J20+L23+J27+J32+L35</f>
        <v>0</v>
      </c>
      <c r="V43" s="152">
        <f>L12+J15+L20+J23+L27+L32+J35</f>
        <v>13</v>
      </c>
      <c r="W43" s="152">
        <f>Q12+R15+Q20+R23+Q27+Q32+R35</f>
        <v>7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7</v>
      </c>
      <c r="V44" s="152">
        <f>J12+L16+L19+J24+L29+J31+J38</f>
        <v>2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12</v>
      </c>
      <c r="Q45" s="152">
        <f t="shared" si="0"/>
        <v>6</v>
      </c>
      <c r="R45" s="152">
        <f t="shared" si="2"/>
        <v>4</v>
      </c>
      <c r="S45" s="152">
        <f t="shared" si="3"/>
        <v>2</v>
      </c>
      <c r="T45" s="152">
        <f t="shared" si="4"/>
        <v>0</v>
      </c>
      <c r="U45" s="152">
        <f>J13+L16+L20+J26+L30+L34+J37</f>
        <v>6</v>
      </c>
      <c r="V45" s="152">
        <f>L13+J16+J20+L26+J30+J34+L37</f>
        <v>4</v>
      </c>
      <c r="W45" s="152">
        <f>Q13+R16+R20+Q26+R30+R34+Q37</f>
        <v>7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12</v>
      </c>
      <c r="Q46" s="152">
        <f t="shared" si="0"/>
        <v>6</v>
      </c>
      <c r="R46" s="152">
        <f t="shared" si="2"/>
        <v>4</v>
      </c>
      <c r="S46" s="152">
        <f t="shared" si="3"/>
        <v>2</v>
      </c>
      <c r="T46" s="152">
        <f t="shared" si="4"/>
        <v>0</v>
      </c>
      <c r="U46" s="152">
        <f>L13+J17+J22+J24+L27+L33+J36</f>
        <v>11</v>
      </c>
      <c r="V46" s="152">
        <f>J13+L17+L22+L24+J27+J33+L36</f>
        <v>5</v>
      </c>
      <c r="W46" s="152">
        <f>R13+Q17+Q22+Q24+R27+R33+Q36</f>
        <v>6</v>
      </c>
      <c r="X46" s="129">
        <f t="shared" si="1"/>
        <v>3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6</v>
      </c>
      <c r="R47" s="152">
        <f t="shared" si="2"/>
        <v>5</v>
      </c>
      <c r="S47" s="152">
        <f t="shared" si="3"/>
        <v>1</v>
      </c>
      <c r="T47" s="152">
        <f t="shared" si="4"/>
        <v>0</v>
      </c>
      <c r="U47" s="152">
        <f>J14+L17+L21+L25+J30+L32+J38</f>
        <v>15</v>
      </c>
      <c r="V47" s="152">
        <f>L14+J17+J21+J25+L30+J32+L38</f>
        <v>2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5080-2152-42BB-9011-2D3F987EF5E5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0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0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0</v>
      </c>
      <c r="K30" s="124" t="s">
        <v>294</v>
      </c>
      <c r="L30" s="125">
        <v>0</v>
      </c>
      <c r="M30" s="126" t="str">
        <f>Scheids!$D$19</f>
        <v>John Kortekaas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>
        <v>1</v>
      </c>
      <c r="K32" s="124" t="s">
        <v>294</v>
      </c>
      <c r="L32" s="125">
        <v>1</v>
      </c>
      <c r="M32" s="126" t="str">
        <f>Scheids!$F$19</f>
        <v>Robert vd Bosch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>
        <v>1</v>
      </c>
      <c r="K33" s="124" t="s">
        <v>294</v>
      </c>
      <c r="L33" s="125">
        <v>0</v>
      </c>
      <c r="M33" s="126" t="str">
        <f>Scheids!$F$19</f>
        <v>Robert vd Bosch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>
        <v>3</v>
      </c>
      <c r="K34" s="124" t="s">
        <v>294</v>
      </c>
      <c r="L34" s="125">
        <v>0</v>
      </c>
      <c r="M34" s="126" t="str">
        <f>Scheids!$F$19</f>
        <v>Robert vd Bosch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>
        <v>0</v>
      </c>
      <c r="K36" s="124" t="s">
        <v>294</v>
      </c>
      <c r="L36" s="125">
        <v>1</v>
      </c>
      <c r="M36" s="126" t="str">
        <f>Scheids!$D$19</f>
        <v>John Kortekaas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>
        <v>0</v>
      </c>
      <c r="K37" s="124" t="s">
        <v>294</v>
      </c>
      <c r="L37" s="125">
        <v>2</v>
      </c>
      <c r="M37" s="126" t="str">
        <f>Scheids!$F$19</f>
        <v>Robert vd Bosch</v>
      </c>
      <c r="N37" s="127"/>
      <c r="O37" s="128"/>
      <c r="Q37" s="129">
        <v>2</v>
      </c>
      <c r="R37" s="129">
        <v>2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>
        <v>0</v>
      </c>
      <c r="K38" s="139" t="s">
        <v>294</v>
      </c>
      <c r="L38" s="140">
        <v>0</v>
      </c>
      <c r="M38" s="141" t="str">
        <f>Scheids!$F$19</f>
        <v>Robert vd Bosch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18</v>
      </c>
      <c r="Q41" s="152">
        <f t="shared" ref="Q41:Q48" si="0">COUNT(E41:N41)</f>
        <v>6</v>
      </c>
      <c r="R41" s="152">
        <f>COUNTIFS(E41:N41,3)</f>
        <v>6</v>
      </c>
      <c r="S41" s="152">
        <f>COUNTIFS(E41:N41,0)</f>
        <v>0</v>
      </c>
      <c r="T41" s="152">
        <f>COUNTIFS(E41:N41,1)</f>
        <v>0</v>
      </c>
      <c r="U41" s="152">
        <f>J11+L18+J21+J23+L29+J34+L36</f>
        <v>13</v>
      </c>
      <c r="V41" s="152">
        <f>L11+J18+L21+L23+J29+L34+J36</f>
        <v>1</v>
      </c>
      <c r="W41" s="152">
        <f>Q11+R18+Q21+Q23+R29+Q34+R36</f>
        <v>11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9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6</v>
      </c>
      <c r="V42" s="152">
        <f>J11+L15+J19+L25+L28+L33+J37</f>
        <v>8</v>
      </c>
      <c r="W42" s="152">
        <f>R11+Q15+R19+Q25+Q28+Q33+R37</f>
        <v>11</v>
      </c>
      <c r="X42" s="129">
        <f t="shared" si="1"/>
        <v>3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6</v>
      </c>
      <c r="R43" s="152">
        <f t="shared" si="2"/>
        <v>0</v>
      </c>
      <c r="S43" s="152">
        <f t="shared" si="3"/>
        <v>4</v>
      </c>
      <c r="T43" s="152">
        <f t="shared" si="4"/>
        <v>2</v>
      </c>
      <c r="U43" s="152">
        <f>J12+L15+J20+L23+J27+J32+L35</f>
        <v>1</v>
      </c>
      <c r="V43" s="152">
        <f>L12+J15+L20+J23+L27+L32+J35</f>
        <v>12</v>
      </c>
      <c r="W43" s="152">
        <f>Q12+R15+Q20+R23+Q27+Q32+R35</f>
        <v>10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10</v>
      </c>
      <c r="X44" s="129">
        <f t="shared" si="1"/>
        <v>2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0</v>
      </c>
      <c r="V45" s="152">
        <f>L13+J16+J20+L26+J30+J34+L37</f>
        <v>10</v>
      </c>
      <c r="W45" s="152">
        <f>Q13+R16+R20+Q26+R30+R34+Q37</f>
        <v>10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7</v>
      </c>
      <c r="Q46" s="152">
        <f t="shared" si="0"/>
        <v>6</v>
      </c>
      <c r="R46" s="152">
        <f t="shared" si="2"/>
        <v>2</v>
      </c>
      <c r="S46" s="152">
        <f t="shared" si="3"/>
        <v>3</v>
      </c>
      <c r="T46" s="152">
        <f t="shared" si="4"/>
        <v>1</v>
      </c>
      <c r="U46" s="152">
        <f>L13+J17+J22+J24+L27+L33+J36</f>
        <v>5</v>
      </c>
      <c r="V46" s="152">
        <f>J13+L17+L22+L24+J27+J33+L36</f>
        <v>6</v>
      </c>
      <c r="W46" s="152">
        <f>R13+Q17+Q22+Q24+R27+R33+Q36</f>
        <v>12</v>
      </c>
      <c r="X46" s="129">
        <f t="shared" si="1"/>
        <v>4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7</v>
      </c>
      <c r="Q47" s="152">
        <f t="shared" si="0"/>
        <v>6</v>
      </c>
      <c r="R47" s="152">
        <f t="shared" si="2"/>
        <v>1</v>
      </c>
      <c r="S47" s="152">
        <f t="shared" si="3"/>
        <v>1</v>
      </c>
      <c r="T47" s="152">
        <f t="shared" si="4"/>
        <v>4</v>
      </c>
      <c r="U47" s="152">
        <f>J14+L17+L21+L25+J30+L32+J38</f>
        <v>4</v>
      </c>
      <c r="V47" s="152">
        <f>L14+J17+J21+J25+L30+J32+L38</f>
        <v>4</v>
      </c>
      <c r="W47" s="152">
        <f>Q14+R17+R21+R25+Q30+R32+Q38</f>
        <v>11</v>
      </c>
      <c r="X47" s="129">
        <f t="shared" si="1"/>
        <v>4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52D0B-D877-446A-A57E-DFBEB8E6FF87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0</v>
      </c>
      <c r="K11" s="110" t="s">
        <v>294</v>
      </c>
      <c r="L11" s="111">
        <v>1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0</v>
      </c>
      <c r="K27" s="124" t="s">
        <v>294</v>
      </c>
      <c r="L27" s="125">
        <v>1</v>
      </c>
      <c r="M27" s="126" t="str">
        <f>Scheids!$D$20</f>
        <v>Bas Kers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0</v>
      </c>
      <c r="K29" s="124" t="s">
        <v>294</v>
      </c>
      <c r="L29" s="125">
        <v>1</v>
      </c>
      <c r="M29" s="126" t="str">
        <f>Scheids!$D$20</f>
        <v>Bas Kers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3</v>
      </c>
      <c r="K30" s="124" t="s">
        <v>294</v>
      </c>
      <c r="L30" s="125">
        <v>0</v>
      </c>
      <c r="M30" s="126" t="str">
        <f>Scheids!$D$20</f>
        <v>Bas Kers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>
        <v>0</v>
      </c>
      <c r="K32" s="124" t="s">
        <v>294</v>
      </c>
      <c r="L32" s="125">
        <v>3</v>
      </c>
      <c r="M32" s="126" t="str">
        <f>Scheids!$F$20</f>
        <v>Iris Klein Bog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>
        <v>1</v>
      </c>
      <c r="K33" s="124" t="s">
        <v>294</v>
      </c>
      <c r="L33" s="125">
        <v>0</v>
      </c>
      <c r="M33" s="126" t="str">
        <f>Scheids!$F$20</f>
        <v>Iris Klein Bog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>
        <v>2</v>
      </c>
      <c r="K34" s="124" t="s">
        <v>294</v>
      </c>
      <c r="L34" s="125">
        <v>0</v>
      </c>
      <c r="M34" s="126" t="str">
        <f>Scheids!$F$20</f>
        <v>Iris Klein Bog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>
        <v>0</v>
      </c>
      <c r="K36" s="124" t="s">
        <v>294</v>
      </c>
      <c r="L36" s="125">
        <v>3</v>
      </c>
      <c r="M36" s="126" t="str">
        <f>Scheids!$D$20</f>
        <v>Bas Kers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>
        <v>0</v>
      </c>
      <c r="K37" s="124" t="s">
        <v>294</v>
      </c>
      <c r="L37" s="125">
        <v>4</v>
      </c>
      <c r="M37" s="126" t="str">
        <f>Scheids!$F$20</f>
        <v>Iris Klein Bog</v>
      </c>
      <c r="N37" s="127"/>
      <c r="O37" s="128"/>
      <c r="Q37" s="129">
        <v>2</v>
      </c>
      <c r="R37" s="129">
        <v>2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>
        <v>2</v>
      </c>
      <c r="K38" s="139" t="s">
        <v>294</v>
      </c>
      <c r="L38" s="140">
        <v>0</v>
      </c>
      <c r="M38" s="141" t="str">
        <f>Scheids!$F$20</f>
        <v>Iris Klein Bog</v>
      </c>
      <c r="N38" s="142"/>
      <c r="O38" s="143"/>
      <c r="Q38" s="129">
        <v>2</v>
      </c>
      <c r="R38" s="129">
        <v>2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2</v>
      </c>
      <c r="T41" s="152">
        <f>COUNTIFS(E41:N41,1)</f>
        <v>1</v>
      </c>
      <c r="U41" s="152">
        <f>J11+L18+J21+J23+L29+J34+L36</f>
        <v>6</v>
      </c>
      <c r="V41" s="152">
        <f>L11+J18+L21+L23+J29+L34+J36</f>
        <v>4</v>
      </c>
      <c r="W41" s="152">
        <f>Q11+R18+Q21+Q23+R29+Q34+R36</f>
        <v>12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15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</v>
      </c>
      <c r="W42" s="152">
        <f>R11+Q15+R19+Q25+Q28+Q33+R37</f>
        <v>12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6</v>
      </c>
      <c r="R43" s="152">
        <f t="shared" si="2"/>
        <v>1</v>
      </c>
      <c r="S43" s="152">
        <f t="shared" si="3"/>
        <v>3</v>
      </c>
      <c r="T43" s="152">
        <f t="shared" si="4"/>
        <v>2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12</v>
      </c>
      <c r="X43" s="129">
        <f t="shared" si="1"/>
        <v>6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0</v>
      </c>
      <c r="O44" s="157" cm="1">
        <f t="array" ref="O44">IF(SUMPRODUCT(--(E44:N44&lt;&gt;""))&lt;&gt;0,SUM(E44:N44),"")</f>
        <v>7</v>
      </c>
      <c r="Q44" s="152">
        <f t="shared" si="0"/>
        <v>6</v>
      </c>
      <c r="R44" s="152">
        <f t="shared" si="2"/>
        <v>2</v>
      </c>
      <c r="S44" s="152">
        <f t="shared" si="3"/>
        <v>3</v>
      </c>
      <c r="T44" s="152">
        <f t="shared" si="4"/>
        <v>1</v>
      </c>
      <c r="U44" s="152">
        <f>L12+J16+J19+L24+J29+L31+L38</f>
        <v>3</v>
      </c>
      <c r="V44" s="152">
        <f>J12+L16+L19+J24+L29+J31+J38</f>
        <v>4</v>
      </c>
      <c r="W44" s="152">
        <f>R12+Q16+Q19+R24+Q29+R31+R38</f>
        <v>12</v>
      </c>
      <c r="X44" s="129">
        <f t="shared" si="1"/>
        <v>4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0</v>
      </c>
      <c r="V45" s="152">
        <f>L13+J16+J20+L26+J30+J34+L37</f>
        <v>13</v>
      </c>
      <c r="W45" s="152">
        <f>Q13+R16+R20+Q26+R30+R34+Q37</f>
        <v>12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2"/>
        <v>2</v>
      </c>
      <c r="S46" s="152">
        <f t="shared" si="3"/>
        <v>4</v>
      </c>
      <c r="T46" s="152">
        <f t="shared" si="4"/>
        <v>0</v>
      </c>
      <c r="U46" s="152">
        <f>L13+J17+J22+J24+L27+L33+J36</f>
        <v>2</v>
      </c>
      <c r="V46" s="152">
        <f>J13+L17+L22+L24+J27+J33+L36</f>
        <v>11</v>
      </c>
      <c r="W46" s="152">
        <f>R13+Q17+Q22+Q24+R27+R33+Q36</f>
        <v>12</v>
      </c>
      <c r="X46" s="129">
        <f t="shared" si="1"/>
        <v>5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3</v>
      </c>
      <c r="O47" s="157" cm="1">
        <f t="array" ref="O47">IF(SUMPRODUCT(--(E47:N47&lt;&gt;""))&lt;&gt;0,SUM(E47:N47),"")</f>
        <v>18</v>
      </c>
      <c r="Q47" s="152">
        <f t="shared" si="0"/>
        <v>6</v>
      </c>
      <c r="R47" s="152">
        <f t="shared" si="2"/>
        <v>6</v>
      </c>
      <c r="S47" s="152">
        <f t="shared" si="3"/>
        <v>0</v>
      </c>
      <c r="T47" s="152">
        <f t="shared" si="4"/>
        <v>0</v>
      </c>
      <c r="U47" s="152">
        <f>J14+L17+L21+L25+J30+L32+J38</f>
        <v>17</v>
      </c>
      <c r="V47" s="152">
        <f>L14+J17+J21+J25+L30+J32+L38</f>
        <v>0</v>
      </c>
      <c r="W47" s="152">
        <f>Q14+R17+R21+R25+Q30+R32+Q38</f>
        <v>12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062D2-3E58-4DBF-85D9-A4CD707F7599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8165E-262F-4B3B-810E-D7B208E8F2B6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FD1EB-506A-498B-9B38-A28F7904CE1C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6FA01-EAB8-4B32-B3A1-9EC82C8B3AF1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6E581-8077-42DD-8BD1-D789A271CB9B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7509C-6503-453C-A00C-A152FD3495D4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1DC57-3E79-4FFB-B7E1-4E804E1A3336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BBBFC-E69C-4426-9701-0717A61FFB57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BCF5-22FB-45FD-A1D9-00D7B25B2410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C28FD-9FB9-4771-987F-AB8712D8F0C8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21856-9C1E-4E93-AD20-D72D9A8AA9CD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EEF48-C3EB-4E08-B804-7AE4C90DE7D0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3EDE7-7248-4551-9022-4D7C9FEA1D50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FB83B-FEE6-47F1-90D1-2FE6397B70AC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2026-04-15T14:56:04Z</cp:lastPrinted>
  <dcterms:created xsi:type="dcterms:W3CDTF">2026-04-15T14:55:43Z</dcterms:created>
  <dcterms:modified xsi:type="dcterms:W3CDTF">2026-04-15T14:56:06Z</dcterms:modified>
</cp:coreProperties>
</file>